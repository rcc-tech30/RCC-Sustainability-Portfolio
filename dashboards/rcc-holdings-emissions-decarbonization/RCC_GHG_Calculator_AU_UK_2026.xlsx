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
    </mc:Choice>
  </mc:AlternateContent>
  <xr:revisionPtr revIDLastSave="0" documentId="13_ncr:1_{8A71E997-55EF-4779-9C36-8C611B58BD59}" xr6:coauthVersionLast="47" xr6:coauthVersionMax="47" xr10:uidLastSave="{00000000-0000-0000-0000-000000000000}"/>
  <bookViews>
    <workbookView xWindow="-120" yWindow="-120" windowWidth="38640" windowHeight="21120" activeTab="4" xr2:uid="{00000000-000D-0000-FFFF-FFFF00000000}"/>
  </bookViews>
  <sheets>
    <sheet name="Start Here" sheetId="1" r:id="rId1"/>
    <sheet name="Activity Data" sheetId="2" r:id="rId2"/>
    <sheet name="Emission Factors" sheetId="3" r:id="rId3"/>
    <sheet name="Lists" sheetId="4" state="hidden" r:id="rId4"/>
    <sheet name="Decarbonization Plan" sheetId="5" r:id="rId5"/>
  </sheets>
  <definedNames>
    <definedName name="Australia">Lists!$A$2:$A$5</definedName>
    <definedName name="FactorEF">'Emission Factors'!$E$6:$E$105</definedName>
    <definedName name="FactorKey">'Emission Factors'!$I$6:$I$105</definedName>
    <definedName name="FactorScope">'Emission Factors'!$B$6:$B$105</definedName>
    <definedName name="FactorUnit">'Emission Factors'!$D$6:$D$105</definedName>
    <definedName name="Scope_1">Lists!$H$4:$H$8</definedName>
    <definedName name="Scope_1_and_2">Lists!$J$4:$J$4</definedName>
    <definedName name="Scope_2">Lists!$I$4:$I$8</definedName>
    <definedName name="United_Kingdom">Lists!$B$2:$B$7</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0" i="5" l="1" a="1"/>
  <c r="O30" i="5" s="1"/>
  <c r="R30" i="5" s="1" a="1"/>
  <c r="R30" i="5" s="1"/>
  <c r="O14" i="5" a="1"/>
  <c r="O14" i="5" s="1"/>
  <c r="R14" i="5" s="1" a="1"/>
  <c r="R14" i="5" s="1"/>
  <c r="A31" i="5" a="1"/>
  <c r="A31" i="5" s="1"/>
  <c r="A42" i="5" a="1"/>
  <c r="A42" i="5" s="1"/>
  <c r="G42" i="5" a="1"/>
  <c r="G42" i="5" s="1"/>
  <c r="H42" i="5" a="1"/>
  <c r="H42" i="5" s="1"/>
  <c r="I42" i="5"/>
  <c r="K42" i="5" a="1"/>
  <c r="K42" i="5" s="1"/>
  <c r="A41" i="5" a="1"/>
  <c r="A41" i="5" s="1"/>
  <c r="G41" i="5" a="1"/>
  <c r="G41" i="5" s="1"/>
  <c r="H41" i="5" a="1"/>
  <c r="H41" i="5" s="1"/>
  <c r="I41" i="5"/>
  <c r="K41" i="5" a="1"/>
  <c r="K41" i="5" s="1"/>
  <c r="A40" i="5" a="1"/>
  <c r="A40" i="5" s="1"/>
  <c r="G40" i="5" a="1"/>
  <c r="G40" i="5" s="1"/>
  <c r="H40" i="5" a="1"/>
  <c r="H40" i="5" s="1"/>
  <c r="I40" i="5"/>
  <c r="K40" i="5" a="1"/>
  <c r="K40" i="5" s="1"/>
  <c r="A39" i="5" a="1"/>
  <c r="A39" i="5" s="1"/>
  <c r="G39" i="5" a="1"/>
  <c r="G39" i="5" s="1"/>
  <c r="H39" i="5" a="1"/>
  <c r="H39" i="5" s="1"/>
  <c r="I39" i="5"/>
  <c r="K39" i="5" a="1"/>
  <c r="K39" i="5" s="1"/>
  <c r="A38" i="5" a="1"/>
  <c r="A38" i="5" s="1"/>
  <c r="G38" i="5" a="1"/>
  <c r="G38" i="5" s="1"/>
  <c r="H38" i="5" a="1"/>
  <c r="H38" i="5" s="1"/>
  <c r="I38" i="5"/>
  <c r="K38" i="5" a="1"/>
  <c r="K38" i="5" s="1"/>
  <c r="A37" i="5" a="1"/>
  <c r="A37" i="5" s="1"/>
  <c r="G37" i="5" a="1"/>
  <c r="G37" i="5" s="1"/>
  <c r="H37" i="5" a="1"/>
  <c r="H37" i="5" s="1"/>
  <c r="I37" i="5"/>
  <c r="K37" i="5" a="1"/>
  <c r="K37" i="5" s="1"/>
  <c r="A36" i="5" a="1"/>
  <c r="A36" i="5" s="1"/>
  <c r="G36" i="5" a="1"/>
  <c r="G36" i="5" s="1"/>
  <c r="H36" i="5" a="1"/>
  <c r="H36" i="5" s="1"/>
  <c r="I36" i="5"/>
  <c r="K36" i="5" a="1"/>
  <c r="K36" i="5" s="1"/>
  <c r="A35" i="5" a="1"/>
  <c r="A35" i="5" s="1"/>
  <c r="G35" i="5" a="1"/>
  <c r="G35" i="5" s="1"/>
  <c r="H35" i="5" a="1"/>
  <c r="H35" i="5" s="1"/>
  <c r="I35" i="5"/>
  <c r="K35" i="5" a="1"/>
  <c r="K35" i="5" s="1"/>
  <c r="A34" i="5" a="1"/>
  <c r="A34" i="5" s="1"/>
  <c r="A33" i="5" a="1"/>
  <c r="A33" i="5" s="1"/>
  <c r="A32" i="5" a="1"/>
  <c r="A32" i="5" s="1"/>
  <c r="H31" i="5" a="1"/>
  <c r="H31" i="5" s="1"/>
  <c r="K20" i="5" a="1"/>
  <c r="K20" i="5" s="1"/>
  <c r="K21" i="5" a="1"/>
  <c r="K21" i="5" s="1"/>
  <c r="K22" i="5" a="1"/>
  <c r="K22" i="5" s="1"/>
  <c r="K23" i="5" a="1"/>
  <c r="K23" i="5" s="1"/>
  <c r="K24" i="5" a="1"/>
  <c r="K24" i="5" s="1"/>
  <c r="K25" i="5" a="1"/>
  <c r="K25" i="5" s="1"/>
  <c r="K26" i="5" a="1"/>
  <c r="K26" i="5" s="1"/>
  <c r="A15" i="5" a="1"/>
  <c r="A15" i="5" s="1"/>
  <c r="A16" i="5" a="1"/>
  <c r="A16" i="5" s="1"/>
  <c r="A17" i="5" a="1"/>
  <c r="A17" i="5" s="1"/>
  <c r="A18" i="5" a="1"/>
  <c r="A18" i="5" s="1"/>
  <c r="A19" i="5" a="1"/>
  <c r="A19" i="5" s="1"/>
  <c r="A20" i="5" a="1"/>
  <c r="A20" i="5" s="1"/>
  <c r="A21" i="5" a="1"/>
  <c r="A21" i="5" s="1"/>
  <c r="A22" i="5" a="1"/>
  <c r="A22" i="5" s="1"/>
  <c r="A23" i="5" a="1"/>
  <c r="A23" i="5" s="1"/>
  <c r="A24" i="5" a="1"/>
  <c r="A24" i="5" s="1"/>
  <c r="A25" i="5" a="1"/>
  <c r="A25" i="5" s="1"/>
  <c r="A26" i="5" a="1"/>
  <c r="A26" i="5" s="1"/>
  <c r="G26" i="5" a="1"/>
  <c r="G26" i="5" s="1"/>
  <c r="H26" i="5" a="1"/>
  <c r="H26" i="5" s="1"/>
  <c r="I26" i="5"/>
  <c r="G25" i="5" a="1"/>
  <c r="G25" i="5" s="1"/>
  <c r="H25" i="5" a="1"/>
  <c r="H25" i="5" s="1"/>
  <c r="I25" i="5"/>
  <c r="G24" i="5" a="1"/>
  <c r="G24" i="5" s="1"/>
  <c r="H24" i="5" a="1"/>
  <c r="H24" i="5" s="1"/>
  <c r="I24" i="5"/>
  <c r="G23" i="5" a="1"/>
  <c r="G23" i="5" s="1"/>
  <c r="H23" i="5" a="1"/>
  <c r="H23" i="5" s="1"/>
  <c r="I23" i="5"/>
  <c r="G22" i="5" a="1"/>
  <c r="G22" i="5" s="1"/>
  <c r="H22" i="5" a="1"/>
  <c r="H22" i="5" s="1"/>
  <c r="I22" i="5"/>
  <c r="G21" i="5" a="1"/>
  <c r="G21" i="5" s="1"/>
  <c r="H21" i="5" a="1"/>
  <c r="H21" i="5" s="1"/>
  <c r="I21" i="5"/>
  <c r="G20" i="5" a="1"/>
  <c r="G20" i="5" s="1"/>
  <c r="H20" i="5" a="1"/>
  <c r="H20" i="5" s="1"/>
  <c r="I20" i="5"/>
  <c r="H15" i="5" a="1"/>
  <c r="H15" i="5" s="1"/>
  <c r="O42" i="5" a="1"/>
  <c r="O42" i="5" s="1"/>
  <c r="O41" i="5" a="1"/>
  <c r="O41" i="5" s="1"/>
  <c r="O40" i="5" a="1"/>
  <c r="O40" i="5" s="1"/>
  <c r="O39" i="5" a="1"/>
  <c r="O39" i="5" s="1"/>
  <c r="O38" i="5" a="1"/>
  <c r="O38" i="5" s="1"/>
  <c r="O37" i="5" a="1"/>
  <c r="O37" i="5" s="1"/>
  <c r="O36" i="5" a="1"/>
  <c r="O36" i="5" s="1"/>
  <c r="O35" i="5" a="1"/>
  <c r="O35" i="5" s="1"/>
  <c r="O34" i="5" a="1"/>
  <c r="O34" i="5" s="1"/>
  <c r="O33" i="5" a="1"/>
  <c r="O33" i="5" s="1"/>
  <c r="O32" i="5" a="1"/>
  <c r="O32" i="5" s="1"/>
  <c r="O26" i="5" a="1"/>
  <c r="O26" i="5" s="1"/>
  <c r="O25" i="5" a="1"/>
  <c r="O25" i="5" s="1"/>
  <c r="O24" i="5" a="1"/>
  <c r="O24" i="5" s="1"/>
  <c r="O23" i="5" a="1"/>
  <c r="O23" i="5" s="1"/>
  <c r="O22" i="5" a="1"/>
  <c r="O22" i="5" s="1"/>
  <c r="O21" i="5" a="1"/>
  <c r="O21" i="5" s="1"/>
  <c r="O20" i="5" a="1"/>
  <c r="O20" i="5" s="1"/>
  <c r="O19" i="5" a="1"/>
  <c r="O19" i="5" s="1"/>
  <c r="O18" i="5" a="1"/>
  <c r="O18" i="5" s="1"/>
  <c r="O17" i="5" a="1"/>
  <c r="O17" i="5" s="1"/>
  <c r="O16" i="5" a="1"/>
  <c r="O16" i="5" s="1"/>
  <c r="O31" i="5" a="1"/>
  <c r="O31" i="5" s="1"/>
  <c r="O15" i="5" a="1"/>
  <c r="O15" i="5" s="1"/>
  <c r="G11" i="5"/>
  <c r="O43" i="5" s="1" a="1"/>
  <c r="O43" i="5" s="1"/>
  <c r="O27" i="5" l="1" a="1"/>
  <c r="O27" i="5" s="1"/>
  <c r="R42" i="5" a="1"/>
  <c r="R42" i="5" s="1"/>
  <c r="R41" i="5" a="1"/>
  <c r="R41" i="5" s="1"/>
  <c r="R40" i="5" a="1"/>
  <c r="R40" i="5" s="1"/>
  <c r="R39" i="5" a="1"/>
  <c r="R39" i="5" s="1"/>
  <c r="R38" i="5" a="1"/>
  <c r="R38" i="5" s="1"/>
  <c r="R37" i="5" a="1"/>
  <c r="R37" i="5" s="1"/>
  <c r="R36" i="5" a="1"/>
  <c r="R36" i="5" s="1"/>
  <c r="R35" i="5" a="1"/>
  <c r="R35" i="5" s="1"/>
  <c r="R26" i="5" a="1"/>
  <c r="R26" i="5" s="1"/>
  <c r="R25" i="5" a="1"/>
  <c r="R25" i="5" s="1"/>
  <c r="R24" i="5" a="1"/>
  <c r="R24" i="5" s="1"/>
  <c r="R23" i="5" a="1"/>
  <c r="R23" i="5" s="1"/>
  <c r="R22" i="5" a="1"/>
  <c r="R22" i="5" s="1"/>
  <c r="R21" i="5" a="1"/>
  <c r="R21" i="5" s="1"/>
  <c r="S15" i="5" a="1"/>
  <c r="S15" i="5" s="1"/>
  <c r="S39" i="5" l="1" a="1"/>
  <c r="S39" i="5" s="1"/>
  <c r="Q39" i="5" a="1"/>
  <c r="Q39" i="5" s="1"/>
  <c r="P39" i="5" a="1"/>
  <c r="P39" i="5" s="1"/>
  <c r="S32" i="5" a="1"/>
  <c r="S32" i="5" s="1"/>
  <c r="Q41" i="5" a="1"/>
  <c r="Q41" i="5" s="1"/>
  <c r="P41" i="5" a="1"/>
  <c r="P41" i="5" s="1"/>
  <c r="S41" i="5" a="1"/>
  <c r="S41" i="5" s="1"/>
  <c r="Q38" i="5" a="1"/>
  <c r="Q38" i="5" s="1"/>
  <c r="S38" i="5" a="1"/>
  <c r="S38" i="5" s="1"/>
  <c r="P38" i="5" a="1"/>
  <c r="P38" i="5" s="1"/>
  <c r="S31" i="5" a="1"/>
  <c r="S31" i="5" s="1"/>
  <c r="P35" i="5" a="1"/>
  <c r="P35" i="5" s="1"/>
  <c r="S35" i="5" a="1"/>
  <c r="S35" i="5" s="1"/>
  <c r="Q35" i="5" a="1"/>
  <c r="Q35" i="5" s="1"/>
  <c r="S40" i="5" a="1"/>
  <c r="S40" i="5" s="1"/>
  <c r="Q40" i="5" a="1"/>
  <c r="Q40" i="5" s="1"/>
  <c r="P40" i="5" a="1"/>
  <c r="P40" i="5" s="1"/>
  <c r="Q37" i="5" a="1"/>
  <c r="Q37" i="5" s="1"/>
  <c r="P37" i="5" a="1"/>
  <c r="P37" i="5" s="1"/>
  <c r="S37" i="5" a="1"/>
  <c r="S37" i="5" s="1"/>
  <c r="S34" i="5" a="1"/>
  <c r="S34" i="5" s="1"/>
  <c r="Q36" i="5" a="1"/>
  <c r="Q36" i="5" s="1"/>
  <c r="S36" i="5" a="1"/>
  <c r="S36" i="5" s="1"/>
  <c r="P36" i="5" a="1"/>
  <c r="P36" i="5" s="1"/>
  <c r="S33" i="5" a="1"/>
  <c r="S33" i="5" s="1"/>
  <c r="P42" i="5" a="1"/>
  <c r="P42" i="5" s="1"/>
  <c r="S42" i="5" a="1"/>
  <c r="S42" i="5" s="1"/>
  <c r="Q42" i="5" a="1"/>
  <c r="Q42" i="5" s="1"/>
  <c r="P21" i="5" a="1"/>
  <c r="P21" i="5" s="1"/>
  <c r="S21" i="5" a="1"/>
  <c r="S21" i="5" s="1"/>
  <c r="Q21" i="5" a="1"/>
  <c r="Q21" i="5" s="1"/>
  <c r="S19" i="5" a="1"/>
  <c r="S19" i="5" s="1"/>
  <c r="Q20" i="5" a="1"/>
  <c r="Q20" i="5" s="1"/>
  <c r="P20" i="5" a="1"/>
  <c r="P20" i="5" s="1"/>
  <c r="R20" i="5" s="1" a="1"/>
  <c r="R20" i="5" s="1"/>
  <c r="S20" i="5" a="1"/>
  <c r="S20" i="5" s="1"/>
  <c r="S16" i="5" a="1"/>
  <c r="S16" i="5" s="1"/>
  <c r="S22" i="5" a="1"/>
  <c r="S22" i="5" s="1"/>
  <c r="Q22" i="5" a="1"/>
  <c r="Q22" i="5" s="1"/>
  <c r="P22" i="5" a="1"/>
  <c r="P22" i="5" s="1"/>
  <c r="S23" i="5" a="1"/>
  <c r="S23" i="5" s="1"/>
  <c r="Q23" i="5" a="1"/>
  <c r="Q23" i="5" s="1"/>
  <c r="P23" i="5" a="1"/>
  <c r="P23" i="5" s="1"/>
  <c r="P24" i="5" a="1"/>
  <c r="P24" i="5" s="1"/>
  <c r="Q24" i="5" a="1"/>
  <c r="Q24" i="5" s="1"/>
  <c r="S24" i="5" a="1"/>
  <c r="S24" i="5" s="1"/>
  <c r="S17" i="5" a="1"/>
  <c r="S17" i="5" s="1"/>
  <c r="P25" i="5" a="1"/>
  <c r="P25" i="5" s="1"/>
  <c r="S25" i="5" a="1"/>
  <c r="S25" i="5" s="1"/>
  <c r="Q25" i="5" a="1"/>
  <c r="Q25" i="5" s="1"/>
  <c r="S18" i="5" a="1"/>
  <c r="S18" i="5" s="1"/>
  <c r="S26" i="5" a="1"/>
  <c r="S26" i="5" s="1"/>
  <c r="Q26" i="5" a="1"/>
  <c r="Q26" i="5" s="1"/>
  <c r="P26" i="5" a="1"/>
  <c r="P26" i="5" s="1"/>
  <c r="I15" i="3" l="1"/>
  <c r="I14" i="3"/>
  <c r="I13" i="3"/>
  <c r="I12" i="3"/>
  <c r="I11" i="3"/>
  <c r="I10" i="3"/>
  <c r="I9" i="3"/>
  <c r="I8" i="3"/>
  <c r="I7" i="3"/>
  <c r="I6" i="3"/>
  <c r="G62" i="2"/>
  <c r="F62" i="2"/>
  <c r="E62" i="2"/>
  <c r="D62" i="2"/>
  <c r="G61" i="2"/>
  <c r="F61" i="2"/>
  <c r="E61" i="2"/>
  <c r="D61" i="2"/>
  <c r="G60" i="2"/>
  <c r="F60" i="2"/>
  <c r="E60" i="2"/>
  <c r="D60" i="2"/>
  <c r="G59" i="2"/>
  <c r="F59" i="2"/>
  <c r="E59" i="2"/>
  <c r="D59" i="2"/>
  <c r="G58" i="2"/>
  <c r="F58" i="2"/>
  <c r="E58" i="2"/>
  <c r="D58" i="2"/>
  <c r="G57" i="2"/>
  <c r="F57" i="2"/>
  <c r="E57" i="2"/>
  <c r="D57" i="2"/>
  <c r="G56" i="2"/>
  <c r="F56" i="2"/>
  <c r="E56" i="2"/>
  <c r="D56" i="2"/>
  <c r="G55" i="2"/>
  <c r="F55" i="2"/>
  <c r="E55" i="2"/>
  <c r="D55" i="2"/>
  <c r="G54" i="2"/>
  <c r="F54" i="2"/>
  <c r="E54" i="2"/>
  <c r="D54" i="2"/>
  <c r="G53" i="2"/>
  <c r="F53" i="2"/>
  <c r="E53" i="2"/>
  <c r="D53" i="2"/>
  <c r="G52" i="2"/>
  <c r="F52" i="2"/>
  <c r="E52" i="2"/>
  <c r="D52" i="2"/>
  <c r="G51" i="2"/>
  <c r="F51" i="2"/>
  <c r="E51" i="2"/>
  <c r="D51" i="2"/>
  <c r="G50" i="2"/>
  <c r="F50" i="2"/>
  <c r="E50" i="2"/>
  <c r="D50" i="2"/>
  <c r="G49" i="2"/>
  <c r="F49" i="2"/>
  <c r="E49" i="2"/>
  <c r="D49" i="2"/>
  <c r="G48" i="2"/>
  <c r="F48" i="2"/>
  <c r="E48" i="2"/>
  <c r="D48" i="2"/>
  <c r="G47" i="2"/>
  <c r="F47" i="2"/>
  <c r="E47" i="2"/>
  <c r="D47" i="2"/>
  <c r="G46" i="2"/>
  <c r="F46" i="2"/>
  <c r="E46" i="2"/>
  <c r="D46" i="2"/>
  <c r="G45" i="2"/>
  <c r="F45" i="2"/>
  <c r="E45" i="2"/>
  <c r="D45" i="2"/>
  <c r="G44" i="2"/>
  <c r="F44" i="2"/>
  <c r="E44" i="2"/>
  <c r="D44" i="2"/>
  <c r="G43" i="2"/>
  <c r="F43" i="2"/>
  <c r="E43" i="2"/>
  <c r="D43" i="2"/>
  <c r="G42" i="2"/>
  <c r="F42" i="2"/>
  <c r="E42" i="2"/>
  <c r="D42" i="2"/>
  <c r="G41" i="2"/>
  <c r="F41" i="2"/>
  <c r="E41" i="2"/>
  <c r="D41" i="2"/>
  <c r="G40" i="2"/>
  <c r="F40" i="2"/>
  <c r="E40" i="2"/>
  <c r="D40" i="2"/>
  <c r="G39" i="2"/>
  <c r="F39" i="2"/>
  <c r="E39" i="2"/>
  <c r="D39" i="2"/>
  <c r="G38" i="2"/>
  <c r="F38" i="2"/>
  <c r="E38" i="2"/>
  <c r="D38" i="2"/>
  <c r="G37" i="2"/>
  <c r="F37" i="2"/>
  <c r="E37" i="2"/>
  <c r="D37" i="2"/>
  <c r="G36" i="2"/>
  <c r="F36" i="2"/>
  <c r="E36" i="2"/>
  <c r="D36" i="2"/>
  <c r="G35" i="2"/>
  <c r="F35" i="2"/>
  <c r="E35" i="2"/>
  <c r="D35" i="2"/>
  <c r="G34" i="2"/>
  <c r="F34" i="2"/>
  <c r="E34" i="2"/>
  <c r="D34" i="2"/>
  <c r="G33" i="2"/>
  <c r="F33" i="2"/>
  <c r="E33" i="2"/>
  <c r="D33" i="2"/>
  <c r="G32" i="2"/>
  <c r="F32" i="2"/>
  <c r="E32" i="2"/>
  <c r="D32" i="2"/>
  <c r="G31" i="2"/>
  <c r="F31" i="2"/>
  <c r="E31" i="2"/>
  <c r="D31" i="2"/>
  <c r="G30" i="2"/>
  <c r="F30" i="2"/>
  <c r="E30" i="2"/>
  <c r="D30" i="2"/>
  <c r="G29" i="2"/>
  <c r="F29" i="2"/>
  <c r="E29" i="2"/>
  <c r="D29" i="2"/>
  <c r="G28" i="2"/>
  <c r="F28" i="2"/>
  <c r="E28" i="2"/>
  <c r="D28" i="2"/>
  <c r="G27" i="2"/>
  <c r="F27" i="2"/>
  <c r="E27" i="2"/>
  <c r="D27" i="2"/>
  <c r="G26" i="2"/>
  <c r="F26" i="2"/>
  <c r="E26" i="2"/>
  <c r="D26" i="2"/>
  <c r="F25" i="2"/>
  <c r="G25" i="2" s="1"/>
  <c r="E25" i="2"/>
  <c r="D25" i="2"/>
  <c r="G24" i="2"/>
  <c r="F24" i="2"/>
  <c r="E24" i="2"/>
  <c r="D24" i="2"/>
  <c r="G23" i="2"/>
  <c r="F23" i="2"/>
  <c r="E23" i="2"/>
  <c r="D23" i="2"/>
  <c r="G22" i="2"/>
  <c r="F22" i="2"/>
  <c r="E22" i="2"/>
  <c r="D22" i="2"/>
  <c r="G21" i="2"/>
  <c r="F21" i="2"/>
  <c r="E21" i="2"/>
  <c r="D21" i="2"/>
  <c r="F20" i="2"/>
  <c r="G20" i="2" s="1"/>
  <c r="E20" i="2"/>
  <c r="D20" i="2"/>
  <c r="F19" i="2"/>
  <c r="G19" i="2" s="1"/>
  <c r="E19" i="2"/>
  <c r="D19" i="2"/>
  <c r="F18" i="2"/>
  <c r="G18" i="2" s="1"/>
  <c r="E18" i="2"/>
  <c r="D18" i="2"/>
  <c r="F17" i="2"/>
  <c r="G17" i="2" s="1"/>
  <c r="E17" i="2"/>
  <c r="D17" i="2"/>
  <c r="F16" i="2"/>
  <c r="G16" i="2" s="1"/>
  <c r="E16" i="2"/>
  <c r="D16" i="2"/>
  <c r="F15" i="2"/>
  <c r="G15" i="2" s="1"/>
  <c r="E15" i="2"/>
  <c r="D15" i="2"/>
  <c r="F14" i="2" l="1"/>
  <c r="G14" i="2" s="1"/>
  <c r="E14" i="2"/>
  <c r="D14" i="2"/>
  <c r="F13" i="2"/>
  <c r="G13" i="2" s="1"/>
  <c r="D13" i="2"/>
  <c r="E13" i="2"/>
  <c r="F11" i="2"/>
  <c r="G11" i="2" s="1"/>
  <c r="D10" i="2"/>
  <c r="D9" i="2"/>
  <c r="E10" i="2"/>
  <c r="E9" i="2"/>
  <c r="F10" i="2"/>
  <c r="G10" i="2" s="1"/>
  <c r="F9" i="2"/>
  <c r="G9" i="2" s="1"/>
  <c r="D11" i="2"/>
  <c r="E11" i="2"/>
  <c r="D12" i="2"/>
  <c r="E12" i="2"/>
  <c r="F12" i="2"/>
  <c r="G12" i="2" s="1"/>
  <c r="G31" i="5" l="1" a="1"/>
  <c r="G31" i="5" s="1"/>
  <c r="I31" i="5" s="1"/>
  <c r="G15" i="5" a="1"/>
  <c r="G15" i="5" s="1"/>
  <c r="I15" i="5" s="1"/>
  <c r="J14" i="2"/>
  <c r="J13" i="2"/>
  <c r="C11" i="5"/>
  <c r="J11" i="2"/>
  <c r="J10" i="2"/>
  <c r="J9" i="2"/>
  <c r="K31" i="5" l="1" a="1"/>
  <c r="K31" i="5" s="1"/>
  <c r="H32" i="5" a="1"/>
  <c r="H32" i="5" s="1"/>
  <c r="G32" i="5" s="1" a="1"/>
  <c r="G32" i="5" s="1"/>
  <c r="I32" i="5" s="1"/>
  <c r="K32" i="5" s="1" a="1"/>
  <c r="K32" i="5" s="1"/>
  <c r="K15" i="5" a="1"/>
  <c r="K15" i="5" s="1"/>
  <c r="H16" i="5" a="1"/>
  <c r="H16" i="5" s="1"/>
  <c r="G16" i="5" s="1" a="1"/>
  <c r="G16" i="5" s="1"/>
  <c r="I16" i="5" s="1"/>
  <c r="K16" i="5" s="1" a="1"/>
  <c r="K16" i="5" s="1"/>
  <c r="H11" i="5"/>
  <c r="C49" i="5" s="1" a="1"/>
  <c r="C49" i="5" s="1"/>
  <c r="C48" i="5" a="1"/>
  <c r="C48" i="5" s="1"/>
  <c r="Q14" i="5" a="1"/>
  <c r="Q14" i="5" s="1"/>
  <c r="Q30" i="5" a="1"/>
  <c r="Q30" i="5" s="1"/>
  <c r="B48" i="5" a="1"/>
  <c r="B48" i="5" s="1"/>
  <c r="H33" i="5" l="1" a="1"/>
  <c r="H33" i="5" s="1"/>
  <c r="G33" i="5" s="1" a="1"/>
  <c r="G33" i="5" s="1"/>
  <c r="I33" i="5" s="1"/>
  <c r="K33" i="5" s="1" a="1"/>
  <c r="K33" i="5" s="1"/>
  <c r="H17" i="5" a="1"/>
  <c r="H17" i="5" s="1"/>
  <c r="G17" i="5" s="1" a="1"/>
  <c r="G17" i="5" s="1"/>
  <c r="I17" i="5" s="1"/>
  <c r="K17" i="5" s="1" a="1"/>
  <c r="K17" i="5" s="1"/>
  <c r="I11" i="5"/>
  <c r="B49" i="5" a="1"/>
  <c r="B49" i="5" s="1"/>
  <c r="H34" i="5" l="1" a="1"/>
  <c r="H34" i="5" s="1"/>
  <c r="G34" i="5" s="1" a="1"/>
  <c r="G34" i="5" s="1"/>
  <c r="I34" i="5" s="1"/>
  <c r="K34" i="5" s="1" a="1"/>
  <c r="K34" i="5" s="1"/>
  <c r="J41" i="5" a="1"/>
  <c r="J41" i="5" s="1"/>
  <c r="J42" i="5" a="1"/>
  <c r="J42" i="5" s="1"/>
  <c r="J39" i="5" a="1"/>
  <c r="J39" i="5" s="1"/>
  <c r="J40" i="5" a="1"/>
  <c r="J40" i="5" s="1"/>
  <c r="J37" i="5" a="1"/>
  <c r="J37" i="5" s="1"/>
  <c r="J38" i="5" a="1"/>
  <c r="J38" i="5" s="1"/>
  <c r="J35" i="5" a="1"/>
  <c r="J35" i="5" s="1"/>
  <c r="J36" i="5" a="1"/>
  <c r="J36" i="5" s="1"/>
  <c r="J33" i="5" a="1"/>
  <c r="J33" i="5" s="1"/>
  <c r="J31" i="5" a="1"/>
  <c r="J31" i="5" s="1"/>
  <c r="J32" i="5" a="1"/>
  <c r="J32" i="5" s="1"/>
  <c r="H18" i="5" a="1"/>
  <c r="H18" i="5" s="1"/>
  <c r="G18" i="5" s="1" a="1"/>
  <c r="G18" i="5" s="1"/>
  <c r="I18" i="5" s="1"/>
  <c r="K18" i="5" s="1" a="1"/>
  <c r="K18" i="5" s="1"/>
  <c r="J25" i="5" a="1"/>
  <c r="J25" i="5" s="1"/>
  <c r="J26" i="5" a="1"/>
  <c r="J26" i="5" s="1"/>
  <c r="J23" i="5" a="1"/>
  <c r="J23" i="5" s="1"/>
  <c r="J24" i="5" a="1"/>
  <c r="J24" i="5" s="1"/>
  <c r="J21" i="5" a="1"/>
  <c r="J21" i="5" s="1"/>
  <c r="J22" i="5" a="1"/>
  <c r="J22" i="5" s="1"/>
  <c r="J20" i="5" a="1"/>
  <c r="J20" i="5" s="1"/>
  <c r="J17" i="5" a="1"/>
  <c r="J17" i="5" s="1"/>
  <c r="J15" i="5" a="1"/>
  <c r="J15" i="5" s="1"/>
  <c r="J16" i="5" a="1"/>
  <c r="J16" i="5" s="1"/>
  <c r="C50" i="5" a="1"/>
  <c r="C50" i="5" s="1"/>
  <c r="B50" i="5" a="1"/>
  <c r="B50" i="5" s="1"/>
  <c r="H19" i="5" l="1" a="1"/>
  <c r="H19" i="5" s="1"/>
  <c r="G19" i="5" s="1" a="1"/>
  <c r="G19" i="5" s="1"/>
  <c r="I19" i="5" s="1"/>
  <c r="J19" i="5" s="1" a="1"/>
  <c r="J19" i="5" s="1"/>
  <c r="J34" i="5" a="1"/>
  <c r="J34" i="5" s="1"/>
  <c r="J18" i="5" a="1"/>
  <c r="J18" i="5" s="1"/>
  <c r="P34" i="5" a="1"/>
  <c r="P34" i="5" s="1"/>
  <c r="Q34" i="5" a="1"/>
  <c r="Q34" i="5" s="1"/>
  <c r="Q19" i="5" l="1" a="1"/>
  <c r="Q19" i="5" s="1"/>
  <c r="P19" i="5" a="1"/>
  <c r="P19" i="5" s="1"/>
  <c r="R19" i="5" s="1" a="1"/>
  <c r="R19" i="5" s="1"/>
  <c r="K19" i="5" a="1"/>
  <c r="K19" i="5" s="1"/>
  <c r="R34" i="5" a="1"/>
  <c r="R34" i="5" s="1"/>
  <c r="P15" i="5" a="1"/>
  <c r="P15" i="5" s="1"/>
  <c r="Q15" i="5" a="1"/>
  <c r="Q15" i="5" s="1"/>
  <c r="R15" i="5" l="1" a="1"/>
  <c r="R15" i="5" s="1"/>
  <c r="Q16" i="5" a="1"/>
  <c r="Q16" i="5" s="1"/>
  <c r="P16" i="5" a="1"/>
  <c r="P16" i="5" s="1"/>
  <c r="P17" i="5" l="1" a="1"/>
  <c r="P17" i="5" s="1"/>
  <c r="Q17" i="5" a="1"/>
  <c r="Q17" i="5" s="1"/>
  <c r="P18" i="5" a="1"/>
  <c r="P18" i="5" s="1"/>
  <c r="Q18" i="5" a="1"/>
  <c r="Q18" i="5" s="1"/>
  <c r="R16" i="5" a="1"/>
  <c r="R16" i="5" s="1"/>
  <c r="R17" i="5" l="1" a="1"/>
  <c r="R17" i="5" s="1"/>
  <c r="B51" i="5"/>
  <c r="B52" i="5" s="1" a="1"/>
  <c r="B52" i="5" s="1"/>
  <c r="Q27" i="5" a="1"/>
  <c r="Q27" i="5" s="1"/>
  <c r="R27" i="5" s="1" a="1"/>
  <c r="R27" i="5" s="1"/>
  <c r="R18" i="5" a="1"/>
  <c r="R18" i="5" s="1"/>
  <c r="B53" i="5" l="1"/>
  <c r="B55" i="5" s="1" a="1"/>
  <c r="B55" i="5" s="1"/>
  <c r="B54" i="5"/>
  <c r="Q31" i="5" a="1"/>
  <c r="Q31" i="5" s="1"/>
  <c r="P31" i="5" a="1"/>
  <c r="P31" i="5" s="1"/>
  <c r="P33" i="5" l="1" a="1"/>
  <c r="P33" i="5" s="1"/>
  <c r="R31" i="5" a="1"/>
  <c r="R31" i="5" s="1"/>
  <c r="P32" i="5" a="1"/>
  <c r="P32" i="5" s="1"/>
  <c r="Q32" i="5" a="1"/>
  <c r="Q32" i="5" s="1"/>
  <c r="Q43" i="5" l="1" a="1"/>
  <c r="Q43" i="5" s="1"/>
  <c r="R43" i="5" s="1" a="1"/>
  <c r="R43" i="5" s="1"/>
  <c r="C51" i="5"/>
  <c r="C54" i="5" s="1"/>
  <c r="B56" i="5" s="1"/>
  <c r="Q33" i="5" a="1"/>
  <c r="Q33" i="5" s="1"/>
  <c r="R33" i="5" s="1" a="1"/>
  <c r="R33" i="5" s="1"/>
  <c r="R32" i="5" a="1"/>
  <c r="R32" i="5" s="1"/>
  <c r="C52" i="5" l="1" a="1"/>
  <c r="C52" i="5" s="1"/>
  <c r="C53" i="5"/>
  <c r="C55" i="5" a="1"/>
  <c r="C55"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Reiniel Chan</author>
  </authors>
  <commentList>
    <comment ref="J11" authorId="0" shapeId="0" xr:uid="{1C40EA00-8B55-4FC0-9226-000D444094AD}">
      <text>
        <r>
          <rPr>
            <b/>
            <sz val="9"/>
            <color indexed="81"/>
            <rFont val="Tahoma"/>
            <family val="2"/>
          </rPr>
          <t>Assumption: Target Input is dual-purpose. Neutral General format avoids showing absolute emissions as %. Formula normalizes Percentage entries typed as either 40% or 40.</t>
        </r>
      </text>
    </comment>
    <comment ref="G14" authorId="0" shapeId="0" xr:uid="{EE60F940-A20E-44B4-A392-41C229217E50}">
      <text>
        <r>
          <rPr>
            <b/>
            <sz val="9"/>
            <color indexed="81"/>
            <rFont val="Tahoma"/>
            <family val="2"/>
          </rPr>
          <t>Reiniel Chan:
If this shows 0 (or lower than expected), an earlier lever with a broader Scope or an All Sources Emission Source has already claimed this pool. Check the Less: Claimed by Earlier Levers column before assuming there's more room here. Sequencing narrower levers before broader ones avoids this.</t>
        </r>
      </text>
    </comment>
    <comment ref="G30" authorId="0" shapeId="0" xr:uid="{8EEE0A0D-D193-41DA-9556-5A0D94B05314}">
      <text>
        <r>
          <rPr>
            <b/>
            <sz val="9"/>
            <color indexed="81"/>
            <rFont val="Tahoma"/>
            <family val="2"/>
          </rPr>
          <t>Reiniel Chan:
If this shows 0 (or lower than expected), an earlier lever with a broader Scope or an All Sources Emission Source has already claimed this pool. Check the Less: Claimed by Earlier Levers column before assuming there's more room here. Sequencing narrower levers before broader ones avoids this.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<sst xmlns="http://schemas.openxmlformats.org/spreadsheetml/2006/main" count="303" uniqueCount="168">
  <si>
    <t>GHG Emissions Calculator</t>
  </si>
  <si>
    <t>What this does</t>
  </si>
  <si>
    <t>Type your fuel and energy use into the Activity Data sheet and it returns tonnes of CO2 equivalent (tCO2e). The emission factor, the unit and the scope are all filled in for you once you pick a country and a source.</t>
  </si>
  <si>
    <t>How to use it</t>
  </si>
  <si>
    <t>1. Open the Activity Data sheet.</t>
  </si>
  <si>
    <t>2. Pick a country in column A. The list in column B then only shows sources that have a published factor for that country.</t>
  </si>
  <si>
    <t>3. Pick a source in column B and type your number in column C.</t>
  </si>
  <si>
    <t>4. Columns D to G fill in on their own. Do not type in them.</t>
  </si>
  <si>
    <t>5. The summary to the right of the table adds up Scope 1, Scope 2 and the total.</t>
  </si>
  <si>
    <t>Which sources are available</t>
  </si>
  <si>
    <t>Australia: petrol, diesel, natural gas, purchased electricity.</t>
  </si>
  <si>
    <t>United Kingdom: petrol, diesel, natural gas, purchased electricity, purchased heating, purchased steam.</t>
  </si>
  <si>
    <t>Units matter</t>
  </si>
  <si>
    <t>The unit is set by the official factor, not by preference, so it is not the same for every source. Australian petrol and diesel are in litres, Australian natural gas is in gigajoules, UK natural gas is in kilowatt hours on a gross calorific value basis (the basis of most UK gas bills), and electricity, heating and steam are all in kilowatt hours. Column D always tells you which unit the row expects.</t>
  </si>
  <si>
    <t>What is included and what is not</t>
  </si>
  <si>
    <t>Included: direct combustion of petrol, diesel and natural gas (Scope 1), and purchased electricity, heating and steam (Scope 2, location-based method).</t>
  </si>
  <si>
    <t>Not included: Scope 3 of any kind, upstream well-to-tank fuel emissions, electricity transmission and distribution losses, refrigerant leakage, the market-based Scope 2 method, and any biogenic or outside-of-scopes portion of UK biofuel-blended fuels. These sit outside the boundary on purpose.</t>
  </si>
  <si>
    <t>One simplification you should know about</t>
  </si>
  <si>
    <t>Sources</t>
  </si>
  <si>
    <t>Australia: DCCEEW, Australian National Greenhouse Accounts Factors 2026.</t>
  </si>
  <si>
    <t>United Kingdom: DESNZ, UK Government GHG Conversion Factors for Company Reporting 2026, full set, version 1.</t>
  </si>
  <si>
    <t>Every factor on the Emission Factors sheet names the exact tab, table or row it came from. Nothing is typed inside a calculation formula.</t>
  </si>
  <si>
    <t>Notes on the file</t>
  </si>
  <si>
    <t>The Activity Data and Emission Factors sheets are protected so the formulas cannot be overwritten by accident. There is no password. To unprotect, use Review then Unprotect Sheet. You can still type in the input cells and insert rows while protection is on.</t>
  </si>
  <si>
    <t>If you add a new factor to the Emission Factors sheet, add it in rows 6 to 105 so the lookups pick it up, and add the source name to the matching column on the hidden Lists sheet so it appears in the dropdown.</t>
  </si>
  <si>
    <t>Both tables are flat, one row per record, with no merged cells, so the file can be loaded straight into Power BI.</t>
  </si>
  <si>
    <t>A caveat worth reading</t>
  </si>
  <si>
    <t>Decarbonization Plan sheet</t>
  </si>
  <si>
    <t>Set a reduction target, list the actions you plan to take, and the sheet works out whether the plan closes the gap. Baseline emissions come straight from the Activity Data total, so there is nothing to retype.</t>
  </si>
  <si>
    <t>There are two illustrative lever rows. Their reduction inputs are deliberately blank so no invented number gets mistaken for a real assumption. Delete them and enter your own.</t>
  </si>
  <si>
    <t>Scope 2 in this workbook is location-based. Renewable Electricity Certificates and similar contractual instruments generally affect market-based Scope 2 reporting. They should not be presented as physically reducing location-based Scope 2 emissions without an appropriate accounting distinction.</t>
  </si>
  <si>
    <t>Loading this into Power BI</t>
  </si>
  <si>
    <t>Four tables are ready to import: tblActivity (the emissions fact table), tblTarget, tblDecarbLevers, and tblWaterfall. Aggregate tblActivity[tCO2e] by Scope, Country or Source rather than building separate tables per slice.</t>
  </si>
  <si>
    <t>In tblWaterfall, filter out rows where Waterfall Type is blank. Those are unused lever slots. Sort the waterfall by Sequence.</t>
  </si>
  <si>
    <t>Planned Residual Emissions in tblDecarbLevers is a running total driven by Lever Sequence, so do not sum that column in Power BI. Use the last value, or take the figure from the plan summary.</t>
  </si>
  <si>
    <t>Fill in the shaded cells in columns A, B and C. Everything else calculates on its own.</t>
  </si>
  <si>
    <t>Type here</t>
  </si>
  <si>
    <t>Calculated, do not type over</t>
  </si>
  <si>
    <t>Scope 2 factors here are location-based. Market-based reporting is not covered by this workbook.</t>
  </si>
  <si>
    <t>Country</t>
  </si>
  <si>
    <t>Source</t>
  </si>
  <si>
    <t>Activity Data</t>
  </si>
  <si>
    <t>Unit</t>
  </si>
  <si>
    <t>Scope</t>
  </si>
  <si>
    <t>Emission Factor (kg CO2e per unit)</t>
  </si>
  <si>
    <t>tCO2e</t>
  </si>
  <si>
    <t>Summary (tCO2e)</t>
  </si>
  <si>
    <t>Australia</t>
  </si>
  <si>
    <t>Diesel</t>
  </si>
  <si>
    <t>Scope 1</t>
  </si>
  <si>
    <t>Purchased Electricity</t>
  </si>
  <si>
    <t>Scope 2</t>
  </si>
  <si>
    <t>United Kingdom</t>
  </si>
  <si>
    <t>Petrol</t>
  </si>
  <si>
    <t>Total</t>
  </si>
  <si>
    <t>Purchased Heating</t>
  </si>
  <si>
    <t>Totals cover every row in the table, including the example rows.</t>
  </si>
  <si>
    <t>Emission Factors</t>
  </si>
  <si>
    <t>To add a factor, use rows 6 to 105 and add the source name to the matching column on the Lists sheet so it shows up in the dropdown.</t>
  </si>
  <si>
    <t>Emission Factor</t>
  </si>
  <si>
    <t>Emission Factor Unit</t>
  </si>
  <si>
    <t>Source / Reference</t>
  </si>
  <si>
    <t>Factor Year</t>
  </si>
  <si>
    <t>Key</t>
  </si>
  <si>
    <t>L</t>
  </si>
  <si>
    <t>kg CO2e/L</t>
  </si>
  <si>
    <t>Natural Gas</t>
  </si>
  <si>
    <t>GJ</t>
  </si>
  <si>
    <t>kg CO2e/GJ</t>
  </si>
  <si>
    <t>DCCEEW NGA Factors 2026, Table 5, natural gas distributed in a pipeline, combined gases column. Also shown on the Energy - Scope 1 tab.</t>
  </si>
  <si>
    <t>kWh</t>
  </si>
  <si>
    <t>kg CO2e/kWh</t>
  </si>
  <si>
    <t>DCCEEW NGA Factors 2026, Table 1, National row, location-based Scope 2 factor. Simplified national factor used in place of state factors.</t>
  </si>
  <si>
    <t>DESNZ 2026 full set, Fuels sheet, liquid fuels, Petrol (average biofuel blend), litres row. This is the factor DESNZ directs forecourt fuel buyers to use.</t>
  </si>
  <si>
    <t>DESNZ 2026 full set, Fuels sheet, liquid fuels, Diesel (average biofuel blend), litres row. This is the factor DESNZ directs forecourt fuel buyers to use.</t>
  </si>
  <si>
    <t>kWh (gross CV)</t>
  </si>
  <si>
    <t>DESNZ 2026 full set, Fuels sheet, gaseous fuels, Natural gas, kWh (Gross CV) row. Gross CV is the basis of most UK gas bills.</t>
  </si>
  <si>
    <t>DESNZ 2026 full set, UK electricity sheet, Electricity generated row. Location-based.</t>
  </si>
  <si>
    <t>DESNZ 2026 full set, Heat and steam sheet. DESNZ publishes one combined heat and steam factor, so heating and steam share the same value.</t>
  </si>
  <si>
    <t>Purchased Steam</t>
  </si>
  <si>
    <t>United_Kingdom</t>
  </si>
  <si>
    <t>Countries</t>
  </si>
  <si>
    <t>Helper sheet for the dropdowns. Column headings must match the country names exactly, with spaces replaced by underscores.</t>
  </si>
  <si>
    <t>Decarbonization Plan</t>
  </si>
  <si>
    <t>Scope 2 here is location-based, the same basis as the Activity Data sheet.</t>
  </si>
  <si>
    <t>Renewable Electricity Certificates and similar contractual instruments generally affect market-based Scope 2 reporting. They should not be presented as physically reducing location-based Scope 2 emissions without an appropriate accounting distinction.</t>
  </si>
  <si>
    <t>Power BI waterfall data</t>
  </si>
  <si>
    <t>1. Set your target</t>
  </si>
  <si>
    <t>Calculated. Filter out rows where Waterfall Type is blank.</t>
  </si>
  <si>
    <t>Target Name</t>
  </si>
  <si>
    <t>Baseline Year</t>
  </si>
  <si>
    <t>Baseline Emissions (tCO2e)</t>
  </si>
  <si>
    <t>Target Year</t>
  </si>
  <si>
    <t>Target Input</t>
  </si>
  <si>
    <t>Target Reduction %</t>
  </si>
  <si>
    <t>Target Emissions (tCO2e)</t>
  </si>
  <si>
    <t>Required Reduction (tCO2e)</t>
  </si>
  <si>
    <t>Notes</t>
  </si>
  <si>
    <t>Sequence</t>
  </si>
  <si>
    <t>Waterfall Category</t>
  </si>
  <si>
    <t>Waterfall Type</t>
  </si>
  <si>
    <t>Amount (tCO2e)</t>
  </si>
  <si>
    <t>Lever ID</t>
  </si>
  <si>
    <t>Lever Name</t>
  </si>
  <si>
    <t>Emission Source</t>
  </si>
  <si>
    <t>Applicable Baseline Emissions (tCO2e)</t>
  </si>
  <si>
    <t>Contribution to Required Reduction %</t>
  </si>
  <si>
    <t>Planned Residual Emissions (tCO2e)</t>
  </si>
  <si>
    <t>Fleet Electrification</t>
  </si>
  <si>
    <t>Percentage</t>
  </si>
  <si>
    <t>3. Plan summary</t>
  </si>
  <si>
    <t>Planned Lever Reductions (tCO2e)</t>
  </si>
  <si>
    <t>Plan Coverage %</t>
  </si>
  <si>
    <t>Unaddressed Gap (tCO2e)</t>
  </si>
  <si>
    <t>Check</t>
  </si>
  <si>
    <t>Plan Coverage above 100% means the plan goes further than the target requires, not that something is wrong.</t>
  </si>
  <si>
    <t>Australian electricity uses the single national factor of 0.59 kg CO2e/kWh rather than a state factor. The 2026 state factors range from 0.21 in South Australia to 0.74 in Victoria, so for a Victorian site the national figure understates emissions by roughly 20 percent. This is a deliberate choice to keep the tool simple. For a real inventory, use the state factor from Table 1 of the NGA Factors.</t>
  </si>
  <si>
    <t>Emissions Breakdown</t>
  </si>
  <si>
    <t>Impact Input</t>
  </si>
  <si>
    <t>Calculated Impact (tCO2e)</t>
  </si>
  <si>
    <t>Absolute tCO2e</t>
  </si>
  <si>
    <t>Impact Unit</t>
  </si>
  <si>
    <t>All Sources</t>
  </si>
  <si>
    <t>Illustrative example. Assumes a full switch to electric vehicles by the target year, so diesel and petrol fleet emissions go to zero.</t>
  </si>
  <si>
    <t>Illustrative example. Assumes heating moves fully from on site fuel to grid supplied heat by the target year.</t>
  </si>
  <si>
    <t>Baseline</t>
  </si>
  <si>
    <t>All scopes</t>
  </si>
  <si>
    <t>Fill in the shaded columns. Everything else calculates automatically. Add rows to the table if needed. Every lever here is assumed to reduce emissions, so enter the percentage or tCO2e amount you expect it to cut. A rough estimate is fine.</t>
  </si>
  <si>
    <t>Scenario 2 - Decarbonization Levers</t>
  </si>
  <si>
    <t>Scenario 1 -  Add your decarbonization levers</t>
  </si>
  <si>
    <t>Scope_1</t>
  </si>
  <si>
    <t>Scope_2</t>
  </si>
  <si>
    <t>Scope_1_and_2</t>
  </si>
  <si>
    <t>Liquid Fuels</t>
  </si>
  <si>
    <t>Heat &amp; Steam</t>
  </si>
  <si>
    <t>Metric</t>
  </si>
  <si>
    <t>Scenario 1</t>
  </si>
  <si>
    <t>Scenario 2</t>
  </si>
  <si>
    <t>Better Scenario (smaller gap)</t>
  </si>
  <si>
    <t>Input unit follows Impact Unit: Percentage accepts 40% or 40. Absolute tCO2e accepts the amount you plan to cut from baseline, the same convention used for Impact Input in the lever table below, not a final emissions level.
Assumption: Target Input is dual-purpose. Neutral General format avoids showing an absolute amount as a %. Formula normalizes Percentage entries typed as either 40% or 40.</t>
  </si>
  <si>
    <t>Facility Gas Boiler Phase-Out</t>
  </si>
  <si>
    <t>Electrification of Heat &amp; Steam</t>
  </si>
  <si>
    <t>Retirement of Company Fleet</t>
  </si>
  <si>
    <t>Building Energy Efficiency Improvements</t>
  </si>
  <si>
    <t>Facility Heat &amp; Steam Phase-Out</t>
  </si>
  <si>
    <t>Power BI Measures folder</t>
  </si>
  <si>
    <t>_Measures</t>
  </si>
  <si>
    <t>RCC Sustainability Project by Reiniel Celgie Chan | Scope 1 and Scope 2  |  Australia and United Kingdom  |  2026 emission factors</t>
  </si>
  <si>
    <t>Scope 1 and Scope 2  |  Australia and United Kingdom  |  2026 emission factors | RCC Sustainability Project by Reiniel Celgie Chan</t>
  </si>
  <si>
    <t>Every factor used by the calculator, with the document, tab and row it came from. Nothing is typed inside a calculation formula. RCC Sustainability Project by Reiniel Celgie Chan.</t>
  </si>
  <si>
    <t>Set a reduction target, list the actions you plan to take, and see whether the plan closes the gap. RCC Sustainability Project by Reiniel Celgie Chan.</t>
  </si>
  <si>
    <t>Want a deeper, tailored analysis?</t>
  </si>
  <si>
    <t>This workbook is a simplified demonstration. For a version built specifically around your own carbon inventory and decarbonization plan, get in touch.
LinkedIn: https://www.linkedin.com/in/reiniel-celgie-chan-0a122428b/
Email: reinielcelgiechan@gmail.com</t>
  </si>
  <si>
    <t>This is a simplified calculator built to demonstrate the method. It is not a full corporate GHG inventory system, and it is not assured against ISO 14064. Check the factors against the current published sources before using any result in a report.
The emission factor coverage here is limited to the fuel and energy types most businesses hit first (petrol, diesel, natural gas, purchased electricity, heating and steam). It does not cover solid fuels, refrigerants, process emissions, or many other categories that DCCEEW and DESNZ publish factors for, and that could well be material to your business. Before relying on this for a real inventory, verify which emission factors actually apply to your operations, or get in touch (see the contact details at the end of this sheet) if you need a version built around the specific sources your business uses.</t>
  </si>
  <si>
    <t>DCCEEW NGA Factors 2026, Energy - Scope 1 tab, Diesel oil-Cars and light commercial vehicles row Published as 2717.826 kg CO2-e/kL, divided by 1000 to give a per litre factor.</t>
  </si>
  <si>
    <t>DCCEEW NGA Factors 2026, Energy - Scope 1 tab, Gasoline-Cars and light commercial vehicles row. Published as 2312.604 kg CO2-e/kL, divided by 1000 to give a per litre factor.</t>
  </si>
  <si>
    <t xml:space="preserve">Purchased heating and purchased steam are not included for Australia. No published factor for them was found in the 2026 NGA Factors set used here, DCCEEW may cover these in a future update. Purchased cooling is not included for either country. </t>
  </si>
  <si>
    <t>Helper lists for the Decarbonization Plan's Scope and Emission Source dropdowns. Column headings must match the Scope values exactly, with spaces replaced by underscores, same convention as the Country columns to the left.</t>
  </si>
  <si>
    <t>Target_Input_Type (not currently used by any dropdown, kept for reference)</t>
  </si>
  <si>
    <t>The waterfall on this sheet treats every lever as independent. It subtracts each lever's estimated reduction on its own and does not model any knock on increase in a different scope or source. Fleet electrification is a good example, it cuts Scope 1 fuel use, but the added electricity demand that comes with charging those vehicles is not fed back in as a Scope 2 increase. If a lever you are planning could meaningfully raise emissions somewhere else in the business, account for that manually, either by adding a second lever row with a positive Impact Input, or by folding the extra amount into the estimate on the original lever.</t>
  </si>
  <si>
    <t>A note on how this waterfall works: each lever below is treated as a standalone reduction, subtracted straight off the running total. The model does not check whether a lever might increase emissions somewhere else, in a different scope or a different source. Fleet electrification is a good example, it lowers Scope 1 fuel emissions here, but the extra electricity needed to charge those vehicles is not added back in as a Scope 2 increase. If you expect a lever to shift emissions elsewhere rather than remove them outright, capture that manually, either as its own lever row with a positive Impact Input, or folded into the estimate for the original lever.</t>
  </si>
  <si>
    <t>Rows 9 to 14 are examples. Delete them and enter your own numbers.</t>
  </si>
  <si>
    <t>The first six rows are examples. Delete them and enter your own data. There are 48 blank rows ready to use, and they already contain the formulas, so they will calculate as soon as you fill in the first three columns. You can also insert extra rows inside the table and the formulas will copy down.</t>
  </si>
  <si>
    <t>Projected Remaining Emission</t>
  </si>
  <si>
    <t>FY2030 70% Reduction Target</t>
  </si>
  <si>
    <t>Projected Remaining Emission (tCO2e)</t>
  </si>
  <si>
    <t>Less: Claimed by Earlier Levers (tCO2e)</t>
  </si>
  <si>
    <r>
      <t>Target Input works with the type you pick: choose Percentage for a (%) reduction target, or Absolute tCO</t>
    </r>
    <r>
      <rPr>
        <vertAlign val="subscript"/>
        <sz val="9"/>
        <color rgb="FF808080"/>
        <rFont val="Arial"/>
        <family val="2"/>
      </rPr>
      <t>2</t>
    </r>
    <r>
      <rPr>
        <sz val="9"/>
        <color rgb="FF808080"/>
        <rFont val="Arial"/>
        <family val="2"/>
      </rPr>
      <t>e for an absolute reduction amount from baseline.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</si>
</sst>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0000"/>
    <numFmt numFmtId="165" formatCode="#,##0.000"/>
    <numFmt numFmtId="166" formatCode="0.0%"/>
    <numFmt numFmtId="167" formatCode="#,##0.000;\-#,##0.000;"/>
    <numFmt numFmtId="168" formatCode="#,##0.000;\-#,##0.000;&quot;-&quot;"/>
    <numFmt numFmtId="169" formatCode="#,##0.000;\-#,##0.000;0.000"/>
    <numFmt numFmtId="170" formatCode="0.0%;\-0.0%;&quot;-&quot;"/>
    <numFmt numFmtId="171" formatCode="0&quot;%&quot;"/>
    <numFmt numFmtId="172" formatCode="0%;\-0%;&quot;-&quot;"/>
  </numFmts>
  <fonts count="39" x14ac:knownFonts="1">
    <font>
      <sz val="11"/>
      <color theme="1"/>
      <name val="Calibri"/>
      <family val="2"/>
      <scheme val="minor"/>
    </font>
    <font>
      <b/>
      <sz val="20"/>
      <color rgb="FF1F4E3A"/>
      <name val="Arial"/>
      <family val="2"/>
    </font>
    <font>
      <b/>
      <sz val="12"/>
      <color rgb="FF1F4E3A"/>
      <name val="Arial"/>
      <family val="2"/>
    </font>
    <font>
      <sz val="10"/>
      <color rgb="FF333333"/>
      <name val="Arial"/>
      <family val="2"/>
    </font>
    <font>
      <b/>
      <sz val="18"/>
      <color rgb="FF1F4E3A"/>
      <name val="Arial"/>
      <family val="2"/>
    </font>
    <font>
      <sz val="10"/>
      <color rgb="FF2E7D5B"/>
      <name val="Arial"/>
      <family val="2"/>
    </font>
    <font>
      <sz val="10"/>
      <color rgb="FF404040"/>
      <name val="Arial"/>
      <family val="2"/>
    </font>
    <font>
      <i/>
      <sz val="9"/>
      <color rgb="FF808080"/>
      <name val="Arial"/>
      <family val="2"/>
    </font>
    <font>
      <b/>
      <sz val="10"/>
      <color rgb="FFFFFFFF"/>
      <name val="Arial"/>
      <family val="2"/>
    </font>
    <font>
      <sz val="10"/>
      <color rgb="FF1F3864"/>
      <name val="Arial"/>
      <family val="2"/>
    </font>
    <font>
      <b/>
      <sz val="11"/>
      <color rgb="FFFFFFFF"/>
      <name val="Arial"/>
      <family val="2"/>
    </font>
    <font>
      <sz val="10"/>
      <color rgb="FF1F4E3A"/>
      <name val="Arial"/>
      <family val="2"/>
    </font>
    <font>
      <b/>
      <sz val="10"/>
      <color rgb="FF333333"/>
      <name val="Arial"/>
      <family val="2"/>
    </font>
    <font>
      <b/>
      <sz val="10"/>
      <color rgb="FF1F4E3A"/>
      <name val="Arial"/>
      <family val="2"/>
    </font>
    <font>
      <i/>
      <sz val="8"/>
      <color rgb="FF808080"/>
      <name val="Arial"/>
      <family val="2"/>
    </font>
    <font>
      <sz val="9"/>
      <color rgb="FF1F3864"/>
      <name val="Arial"/>
      <family val="2"/>
    </font>
    <font>
      <sz val="9"/>
      <color rgb="FF404040"/>
      <name val="Arial"/>
      <family val="2"/>
    </font>
    <font>
      <b/>
      <sz val="16"/>
      <color rgb="FF1F4E3A"/>
      <name val="Arial"/>
      <family val="2"/>
    </font>
    <font>
      <sz val="9"/>
      <color rgb="FFA6A6A6"/>
      <name val="Arial"/>
      <family val="2"/>
    </font>
    <font>
      <sz val="10"/>
      <name val="Arial"/>
      <family val="2"/>
    </font>
    <font>
      <b/>
      <sz val="12"/>
      <color rgb="FF2E7D5B"/>
      <name val="Arial"/>
      <family val="2"/>
    </font>
    <font>
      <sz val="10"/>
      <color rgb="FF000000"/>
      <name val="Arial"/>
      <family val="2"/>
    </font>
    <font>
      <sz val="9"/>
      <color rgb="FF808080"/>
      <name val="Arial"/>
      <family val="2"/>
    </font>
    <font>
      <sz val="9"/>
      <color rgb="FF000000"/>
      <name val="Arial"/>
      <family val="2"/>
    </font>
    <font>
      <sz val="11"/>
      <color theme="1"/>
      <name val="Calibri"/>
      <family val="2"/>
      <scheme val="minor"/>
    </font>
    <font>
      <b/>
      <sz val="9"/>
      <color indexed="81"/>
      <name val="Tahoma"/>
      <family val="2"/>
    </font>
    <font>
      <sz val="10"/>
      <color rgb="FF1F3864"/>
      <name val="Arial"/>
      <family val="2"/>
    </font>
    <font>
      <b/>
      <sz val="10"/>
      <color rgb="FFFFFFFF"/>
      <name val="Arial"/>
      <family val="2"/>
    </font>
    <font>
      <b/>
      <i/>
      <sz val="10"/>
      <color rgb="FFFFFFFF"/>
      <name val="Arial"/>
      <family val="2"/>
    </font>
    <font>
      <sz val="10"/>
      <color rgb="FF333333"/>
      <name val="Arial"/>
      <family val="2"/>
    </font>
    <font>
      <i/>
      <sz val="9"/>
      <color rgb="FF808080"/>
      <name val="Arial"/>
      <family val="2"/>
    </font>
    <font>
      <sz val="11"/>
      <color rgb="FF2E7D5B"/>
      <name val="Arial"/>
      <family val="2"/>
    </font>
    <font>
      <b/>
      <sz val="12"/>
      <color theme="2"/>
      <name val="Arial"/>
      <family val="2"/>
    </font>
    <font>
      <b/>
      <i/>
      <sz val="10"/>
      <color theme="2"/>
      <name val="Arial"/>
      <family val="2"/>
    </font>
    <font>
      <sz val="10"/>
      <color theme="2"/>
      <name val="Arial"/>
      <family val="2"/>
    </font>
    <font>
      <b/>
      <sz val="12"/>
      <color rgb="FF1F4E3A"/>
      <name val="Arial"/>
      <family val="2"/>
    </font>
    <font>
      <sz val="11"/>
      <color theme="0" tint="-0.499984740745262"/>
      <name val="Calibri"/>
      <family val="2"/>
      <scheme val="minor"/>
    </font>
    <font>
      <vertAlign val="subscript"/>
      <sz val="9"/>
      <color rgb="FF808080"/>
      <name val="Arial"/>
      <family val="2"/>
    </font>
    <font>
      <sz val="9"/>
      <color rgb="FF808080"/>
      <name val="Arial"/>
      <family val="2"/>
    </font>
  </fonts>
  <fills count="10">
    <fill>
      <patternFill patternType="none"/>
    </fill>
    <fill>
      <patternFill patternType="gray125"/>
    </fill>
    <fill>
      <patternFill patternType="solid">
        <fgColor rgb="FF1F4E3A"/>
      </patternFill>
    </fill>
    <fill>
      <patternFill patternType="solid">
        <fgColor rgb="FFFFF2CC"/>
      </patternFill>
    </fill>
    <fill>
      <patternFill patternType="solid">
        <fgColor rgb="FFF2F2F2"/>
      </patternFill>
    </fill>
    <fill>
      <patternFill patternType="solid">
        <fgColor rgb="FFEAF3EE"/>
      </patternFill>
    </fill>
    <fill>
      <patternFill patternType="solid">
        <fgColor rgb="FF1F4E3A"/>
        <bgColor indexed="64"/>
      </patternFill>
    </fill>
    <fill>
      <patternFill patternType="solid">
        <fgColor rgb="FFFFF2CC"/>
        <bgColor indexed="64"/>
      </patternFill>
    </fill>
    <fill>
      <patternFill patternType="solid">
        <fgColor rgb="FFF2F2F2"/>
        <bgColor indexed="64"/>
      </patternFill>
    </fill>
    <fill>
      <patternFill patternType="solid">
        <fgColor theme="0"/>
        <bgColor indexed="64"/>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s>
  <cellStyleXfs count="2">
    <xf numFmtId="0" fontId="0" fillId="0" borderId="0"/>
    <xf numFmtId="9" fontId="24" fillId="0" borderId="0" applyFont="0" applyFill="0" applyBorder="0" applyAlignment="0" applyProtection="0"/>
  </cellStyleXfs>
  <cellXfs count="75">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0" borderId="0" xfId="0" applyFont="1"/>
    <xf numFmtId="0" fontId="5" fillId="0" borderId="0" xfId="0" applyFont="1"/>
    <xf numFmtId="0" fontId="6" fillId="0" borderId="0" xfId="0" applyFont="1"/>
    <xf numFmtId="0" fontId="7" fillId="0" borderId="0" xfId="0" applyFont="1"/>
    <xf numFmtId="0" fontId="15" fillId="3" borderId="1" xfId="0" applyFont="1" applyFill="1" applyBorder="1"/>
    <xf numFmtId="0" fontId="16" fillId="4" borderId="1" xfId="0" applyFont="1" applyFill="1" applyBorder="1"/>
    <xf numFmtId="0" fontId="8" fillId="2" borderId="1" xfId="0" applyFont="1" applyFill="1" applyBorder="1" applyAlignment="1">
      <alignment horizontal="center" vertical="center" wrapText="1"/>
    </xf>
    <xf numFmtId="0" fontId="10" fillId="2" borderId="0" xfId="0" applyFont="1" applyFill="1" applyAlignment="1">
      <alignment horizontal="left" vertical="center"/>
    </xf>
    <xf numFmtId="0" fontId="0" fillId="2" borderId="0" xfId="0" applyFill="1"/>
    <xf numFmtId="0" fontId="9" fillId="3" borderId="1" xfId="0" applyFont="1" applyFill="1" applyBorder="1" applyProtection="1">
      <protection locked="0"/>
    </xf>
    <xf numFmtId="4" fontId="9" fillId="3" borderId="1" xfId="0" applyNumberFormat="1" applyFont="1" applyFill="1" applyBorder="1" applyProtection="1">
      <protection locked="0"/>
    </xf>
    <xf numFmtId="0" fontId="6" fillId="4" borderId="1" xfId="0" applyFont="1" applyFill="1" applyBorder="1" applyAlignment="1">
      <alignment horizontal="center"/>
    </xf>
    <xf numFmtId="164" fontId="6" fillId="4" borderId="1" xfId="0" applyNumberFormat="1" applyFont="1" applyFill="1" applyBorder="1"/>
    <xf numFmtId="165" fontId="6" fillId="4" borderId="1" xfId="0" applyNumberFormat="1" applyFont="1" applyFill="1" applyBorder="1"/>
    <xf numFmtId="0" fontId="3" fillId="5" borderId="1" xfId="0" applyFont="1" applyFill="1" applyBorder="1"/>
    <xf numFmtId="165" fontId="11" fillId="5" borderId="1" xfId="0" applyNumberFormat="1" applyFont="1" applyFill="1" applyBorder="1"/>
    <xf numFmtId="0" fontId="12" fillId="5" borderId="1" xfId="0" applyFont="1" applyFill="1" applyBorder="1"/>
    <xf numFmtId="165" fontId="13" fillId="5" borderId="1" xfId="0" applyNumberFormat="1" applyFont="1" applyFill="1" applyBorder="1"/>
    <xf numFmtId="0" fontId="14" fillId="0" borderId="0" xfId="0" applyFont="1"/>
    <xf numFmtId="0" fontId="17" fillId="0" borderId="0" xfId="0" applyFont="1"/>
    <xf numFmtId="0" fontId="3" fillId="0" borderId="1" xfId="0" applyFont="1" applyBorder="1" applyAlignment="1">
      <alignment horizontal="left" vertical="top"/>
    </xf>
    <xf numFmtId="0" fontId="3" fillId="0" borderId="1" xfId="0" applyFont="1" applyBorder="1" applyAlignment="1">
      <alignment horizontal="center" vertical="top"/>
    </xf>
    <xf numFmtId="164" fontId="3" fillId="0" borderId="1" xfId="0" applyNumberFormat="1" applyFont="1" applyBorder="1" applyAlignment="1">
      <alignment horizontal="right"/>
    </xf>
    <xf numFmtId="0" fontId="3" fillId="0" borderId="1" xfId="0" applyFont="1" applyBorder="1" applyAlignment="1">
      <alignment horizontal="left" vertical="top" wrapText="1"/>
    </xf>
    <xf numFmtId="0" fontId="18" fillId="0" borderId="0" xfId="0" applyFont="1"/>
    <xf numFmtId="0" fontId="19" fillId="0" borderId="0" xfId="0" applyFont="1"/>
    <xf numFmtId="0" fontId="20" fillId="0" borderId="0" xfId="0" applyFont="1"/>
    <xf numFmtId="1" fontId="21" fillId="4" borderId="1" xfId="0" applyNumberFormat="1" applyFont="1" applyFill="1" applyBorder="1" applyAlignment="1">
      <alignment horizontal="center"/>
    </xf>
    <xf numFmtId="165" fontId="21" fillId="4" borderId="1" xfId="0" applyNumberFormat="1" applyFont="1" applyFill="1" applyBorder="1" applyAlignment="1">
      <alignment horizontal="right"/>
    </xf>
    <xf numFmtId="1" fontId="9" fillId="3" borderId="1" xfId="0" applyNumberFormat="1" applyFont="1" applyFill="1" applyBorder="1" applyAlignment="1" applyProtection="1">
      <alignment horizontal="center"/>
      <protection locked="0"/>
    </xf>
    <xf numFmtId="0" fontId="9" fillId="3" borderId="1" xfId="0" applyFont="1" applyFill="1" applyBorder="1" applyAlignment="1" applyProtection="1">
      <alignment horizontal="center"/>
      <protection locked="0"/>
    </xf>
    <xf numFmtId="166" fontId="21" fillId="4" borderId="1" xfId="0" applyNumberFormat="1" applyFont="1" applyFill="1" applyBorder="1" applyAlignment="1">
      <alignment horizontal="right"/>
    </xf>
    <xf numFmtId="0" fontId="21" fillId="4" borderId="1" xfId="0" applyFont="1" applyFill="1" applyBorder="1" applyAlignment="1">
      <alignment horizontal="center"/>
    </xf>
    <xf numFmtId="0" fontId="23" fillId="4" borderId="1" xfId="0" applyFont="1" applyFill="1" applyBorder="1"/>
    <xf numFmtId="165" fontId="13" fillId="5" borderId="1" xfId="0" applyNumberFormat="1" applyFont="1" applyFill="1" applyBorder="1" applyAlignment="1">
      <alignment horizontal="right"/>
    </xf>
    <xf numFmtId="166" fontId="13" fillId="5" borderId="1" xfId="0" applyNumberFormat="1" applyFont="1" applyFill="1" applyBorder="1" applyAlignment="1">
      <alignment horizontal="right"/>
    </xf>
    <xf numFmtId="0" fontId="13" fillId="5" borderId="1" xfId="0" applyFont="1" applyFill="1" applyBorder="1"/>
    <xf numFmtId="1" fontId="21" fillId="4" borderId="3" xfId="0" applyNumberFormat="1" applyFont="1" applyFill="1" applyBorder="1" applyAlignment="1">
      <alignment horizontal="center"/>
    </xf>
    <xf numFmtId="0" fontId="9" fillId="3" borderId="1" xfId="0" applyFont="1" applyFill="1" applyBorder="1" applyAlignment="1" applyProtection="1">
      <alignment horizontal="right"/>
      <protection locked="0"/>
    </xf>
    <xf numFmtId="0" fontId="8" fillId="6" borderId="0" xfId="0" applyFont="1" applyFill="1" applyAlignment="1">
      <alignment horizontal="center" wrapText="1"/>
    </xf>
    <xf numFmtId="0" fontId="21" fillId="4" borderId="1" xfId="0" applyFont="1" applyFill="1" applyBorder="1" applyAlignment="1">
      <alignment wrapText="1"/>
    </xf>
    <xf numFmtId="0" fontId="26" fillId="3" borderId="1" xfId="0" applyFont="1" applyFill="1" applyBorder="1" applyAlignment="1" applyProtection="1">
      <alignment wrapText="1"/>
      <protection locked="0"/>
    </xf>
    <xf numFmtId="0" fontId="28" fillId="6" borderId="0" xfId="0" applyFont="1" applyFill="1" applyAlignment="1">
      <alignment horizontal="center"/>
    </xf>
    <xf numFmtId="0" fontId="27" fillId="6" borderId="0" xfId="0" applyFont="1" applyFill="1" applyAlignment="1">
      <alignment horizontal="center"/>
    </xf>
    <xf numFmtId="0" fontId="30" fillId="0" borderId="0" xfId="0" applyFont="1"/>
    <xf numFmtId="0" fontId="27" fillId="2" borderId="1" xfId="0" applyFont="1" applyFill="1" applyBorder="1" applyAlignment="1">
      <alignment horizontal="center" vertical="center" wrapText="1"/>
    </xf>
    <xf numFmtId="169" fontId="21" fillId="4" borderId="1" xfId="0" applyNumberFormat="1" applyFont="1" applyFill="1" applyBorder="1" applyAlignment="1">
      <alignment horizontal="right"/>
    </xf>
    <xf numFmtId="170" fontId="21" fillId="4" borderId="1" xfId="0" applyNumberFormat="1" applyFont="1" applyFill="1" applyBorder="1" applyAlignment="1">
      <alignment horizontal="right"/>
    </xf>
    <xf numFmtId="0" fontId="31" fillId="0" borderId="0" xfId="0" applyFont="1"/>
    <xf numFmtId="0" fontId="32" fillId="9" borderId="0" xfId="0" applyFont="1" applyFill="1"/>
    <xf numFmtId="0" fontId="33" fillId="9" borderId="0" xfId="0" applyFont="1" applyFill="1" applyAlignment="1">
      <alignment horizontal="center"/>
    </xf>
    <xf numFmtId="0" fontId="34" fillId="9" borderId="4" xfId="0" applyFont="1" applyFill="1" applyBorder="1"/>
    <xf numFmtId="0" fontId="29" fillId="0" borderId="0" xfId="0" applyFont="1" applyAlignment="1">
      <alignment vertical="top" wrapText="1"/>
    </xf>
    <xf numFmtId="0" fontId="35" fillId="0" borderId="0" xfId="0" applyFont="1" applyAlignment="1">
      <alignment vertical="top" wrapText="1"/>
    </xf>
    <xf numFmtId="0" fontId="29" fillId="0" borderId="0" xfId="0" applyFont="1" applyAlignment="1">
      <alignment wrapText="1"/>
    </xf>
    <xf numFmtId="0" fontId="29" fillId="0" borderId="1" xfId="0" applyFont="1" applyBorder="1" applyAlignment="1">
      <alignment horizontal="left" vertical="top" wrapText="1"/>
    </xf>
    <xf numFmtId="0" fontId="36" fillId="0" borderId="0" xfId="0" applyFont="1"/>
    <xf numFmtId="0" fontId="9" fillId="7" borderId="1" xfId="0" applyFont="1" applyFill="1" applyBorder="1" applyAlignment="1" applyProtection="1">
      <alignment horizontal="center" vertical="center"/>
      <protection locked="0"/>
    </xf>
    <xf numFmtId="171" fontId="9" fillId="7" borderId="1" xfId="0" applyNumberFormat="1" applyFont="1" applyFill="1" applyBorder="1" applyAlignment="1" applyProtection="1">
      <alignment horizontal="center" vertical="center"/>
      <protection locked="0"/>
    </xf>
    <xf numFmtId="0" fontId="9" fillId="7" borderId="1" xfId="0" applyFont="1" applyFill="1" applyBorder="1" applyAlignment="1" applyProtection="1">
      <alignment horizontal="right" vertical="center"/>
      <protection locked="0"/>
    </xf>
    <xf numFmtId="167" fontId="21" fillId="8" borderId="1" xfId="0" applyNumberFormat="1" applyFont="1" applyFill="1" applyBorder="1" applyAlignment="1">
      <alignment horizontal="right" vertical="center"/>
    </xf>
    <xf numFmtId="168" fontId="21" fillId="8" borderId="1" xfId="0" applyNumberFormat="1" applyFont="1" applyFill="1" applyBorder="1" applyAlignment="1">
      <alignment horizontal="right" vertical="center"/>
    </xf>
    <xf numFmtId="0" fontId="8" fillId="2" borderId="4" xfId="0" applyFont="1" applyFill="1" applyBorder="1" applyAlignment="1">
      <alignment horizontal="center" vertical="center" wrapText="1"/>
    </xf>
    <xf numFmtId="0" fontId="27" fillId="2" borderId="4" xfId="0" applyFont="1" applyFill="1" applyBorder="1" applyAlignment="1">
      <alignment horizontal="center" vertical="center" wrapText="1"/>
    </xf>
    <xf numFmtId="0" fontId="15" fillId="7" borderId="1" xfId="0" applyFont="1" applyFill="1" applyBorder="1" applyAlignment="1" applyProtection="1">
      <alignment horizontal="right" vertical="center" wrapText="1"/>
      <protection locked="0"/>
    </xf>
    <xf numFmtId="0" fontId="21" fillId="8" borderId="1" xfId="0" applyFont="1" applyFill="1" applyBorder="1" applyAlignment="1">
      <alignment horizontal="center" vertical="center"/>
    </xf>
    <xf numFmtId="0" fontId="9" fillId="7" borderId="1" xfId="0" applyFont="1" applyFill="1" applyBorder="1" applyAlignment="1" applyProtection="1">
      <alignment horizontal="left" vertical="center"/>
      <protection locked="0"/>
    </xf>
    <xf numFmtId="172" fontId="21" fillId="8" borderId="1" xfId="1" applyNumberFormat="1" applyFont="1" applyFill="1" applyBorder="1" applyAlignment="1" applyProtection="1">
      <alignment horizontal="right" vertical="center"/>
    </xf>
    <xf numFmtId="0" fontId="38" fillId="0" borderId="0" xfId="0" applyFont="1"/>
    <xf numFmtId="49" fontId="13" fillId="5" borderId="2" xfId="0" applyNumberFormat="1" applyFont="1" applyFill="1" applyBorder="1" applyAlignment="1">
      <alignment horizontal="center"/>
    </xf>
    <xf numFmtId="49" fontId="13" fillId="5" borderId="3" xfId="0" applyNumberFormat="1" applyFont="1" applyFill="1" applyBorder="1" applyAlignment="1">
      <alignment horizontal="center"/>
    </xf>
  </cellXfs>
  <cellStyles count="2">
    <cellStyle name="Normal" xfId="0" builtinId="0"/>
    <cellStyle name="Percent" xfId="1" builtinId="5"/>
  </cellStyles>
  <dxfs count="45">
    <dxf>
      <font>
        <color rgb="FF9C0006"/>
      </font>
      <fill>
        <patternFill patternType="solid">
          <fgColor indexed="64"/>
          <bgColor rgb="FFFFC7CE"/>
        </patternFill>
      </fill>
    </dxf>
    <dxf>
      <font>
        <b/>
        <color rgb="FF9C0006"/>
      </font>
      <fill>
        <patternFill>
          <bgColor rgb="FFFFC7CE"/>
        </patternFill>
      </fill>
    </dxf>
    <dxf>
      <font>
        <b val="0"/>
        <i/>
        <strike val="0"/>
        <condense val="0"/>
        <extend val="0"/>
        <outline val="0"/>
        <shadow val="0"/>
        <u val="none"/>
        <vertAlign val="baseline"/>
        <sz val="10"/>
        <color theme="2"/>
        <name val="Arial"/>
        <scheme val="none"/>
      </font>
      <fill>
        <patternFill patternType="solid">
          <fgColor indexed="64"/>
          <bgColor theme="0"/>
        </patternFill>
      </fill>
      <border diagonalUp="0" diagonalDown="0" outline="0">
        <left style="thin">
          <color rgb="FFBFBFBF"/>
        </left>
        <right style="thin">
          <color rgb="FFBFBFBF"/>
        </right>
        <top style="thin">
          <color rgb="FFBFBFBF"/>
        </top>
        <bottom/>
      </border>
    </dxf>
    <dxf>
      <border outline="0">
        <bottom style="thin">
          <color rgb="FFBFBFBF"/>
        </bottom>
      </border>
    </dxf>
    <dxf>
      <font>
        <b val="0"/>
        <i/>
        <strike val="0"/>
        <condense val="0"/>
        <extend val="0"/>
        <outline val="0"/>
        <shadow val="0"/>
        <u val="none"/>
        <vertAlign val="baseline"/>
        <sz val="10"/>
        <color theme="2"/>
        <name val="Arial"/>
        <scheme val="none"/>
      </font>
      <fill>
        <patternFill patternType="solid">
          <fgColor indexed="64"/>
          <bgColor theme="0"/>
        </patternFill>
      </fill>
    </dxf>
    <dxf>
      <font>
        <b/>
        <i/>
        <strike val="0"/>
        <condense val="0"/>
        <extend val="0"/>
        <outline val="0"/>
        <shadow val="0"/>
        <u val="none"/>
        <vertAlign val="baseline"/>
        <sz val="10"/>
        <color theme="2"/>
        <name val="Arial"/>
        <scheme val="none"/>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0"/>
        <color rgb="FF000000"/>
        <name val="Arial"/>
        <scheme val="none"/>
      </font>
      <numFmt numFmtId="170" formatCode="0.0%;\-0.0%;&quot;-&quot;"/>
      <fill>
        <patternFill patternType="solid">
          <fgColor indexed="64"/>
          <bgColor rgb="FFF2F2F2"/>
        </patternFill>
      </fill>
      <alignment horizontal="right" vertical="bottom"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numFmt numFmtId="169" formatCode="#,##0.000;\-#,##0.000;0.000"/>
    </dxf>
    <dxf>
      <border outline="0">
        <left style="thin">
          <color rgb="FFBFBFBF"/>
        </left>
      </border>
    </dxf>
    <dxf>
      <alignment horizontal="general" vertical="bottom" textRotation="0" wrapText="1" indent="0" justifyLastLine="0" shrinkToFit="0" readingOrder="0"/>
    </dxf>
    <dxf>
      <border outline="0">
        <right style="thin">
          <color rgb="FFBFBFBF"/>
        </right>
      </border>
    </dxf>
    <dxf>
      <font>
        <b val="0"/>
        <i val="0"/>
        <sz val="9"/>
        <color rgb="FF1F3864"/>
        <name val="Arial"/>
      </font>
      <numFmt numFmtId="0" formatCode="General"/>
      <fill>
        <patternFill patternType="solid">
          <fgColor indexed="64"/>
          <bgColor rgb="FFFFF2CC"/>
        </patternFill>
      </fill>
      <alignment horizontal="right" vertical="center" wrapText="1" indent="0"/>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protection locked="0"/>
    </dxf>
    <dxf>
      <font>
        <b val="0"/>
        <i val="0"/>
        <sz val="10"/>
        <color rgb="FF000000"/>
        <name val="Arial"/>
        <scheme val="none"/>
      </font>
      <numFmt numFmtId="168" formatCode="#,##0.000;\-#,##0.000;&quot;-&quot;"/>
      <fill>
        <patternFill patternType="solid">
          <fgColor indexed="64"/>
          <bgColor rgb="FFF2F2F2"/>
        </patternFill>
      </fill>
      <alignment horizontal="right" vertical="center" textRotation="0" wrapText="0" indent="0" justifyLastLine="0" shrinkToFit="0" readingOrder="0"/>
      <border diagonalUp="0" diagonalDown="0" outline="0">
        <left style="thin">
          <color rgb="FFBFBFBF"/>
        </left>
        <right style="thin">
          <color rgb="FFBFBFBF"/>
        </right>
        <top style="thin">
          <color rgb="FFBFBFBF"/>
        </top>
        <bottom style="thin">
          <color rgb="FFBFBFBF"/>
        </bottom>
      </border>
      <protection locked="1" hidden="0"/>
    </dxf>
    <dxf>
      <font>
        <b val="0"/>
        <i val="0"/>
        <strike val="0"/>
        <condense val="0"/>
        <extend val="0"/>
        <outline val="0"/>
        <shadow val="0"/>
        <u val="none"/>
        <vertAlign val="baseline"/>
        <sz val="10"/>
        <color rgb="FF000000"/>
        <name val="Arial"/>
        <scheme val="none"/>
      </font>
      <numFmt numFmtId="172" formatCode="0%;\-0%;&quot;-&quot;"/>
      <fill>
        <patternFill patternType="solid">
          <fgColor indexed="64"/>
          <bgColor rgb="FFF2F2F2"/>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border>
      <protection locked="1"/>
    </dxf>
    <dxf>
      <font>
        <b val="0"/>
        <i val="0"/>
        <sz val="10"/>
        <color rgb="FF000000"/>
        <name val="Arial"/>
        <scheme val="none"/>
      </font>
      <numFmt numFmtId="168" formatCode="#,##0.000;\-#,##0.000;&quot;-&quot;"/>
      <fill>
        <patternFill patternType="solid">
          <fgColor indexed="64"/>
          <bgColor rgb="FFF2F2F2"/>
        </patternFill>
      </fill>
      <alignment horizontal="right" vertical="center" textRotation="0" wrapText="0" indent="0" justifyLastLine="0" shrinkToFit="0" readingOrder="0"/>
      <border diagonalUp="0" diagonalDown="0" outline="0">
        <left style="thin">
          <color rgb="FFBFBFBF"/>
        </left>
        <right style="thin">
          <color rgb="FFBFBFBF"/>
        </right>
        <top style="thin">
          <color rgb="FFBFBFBF"/>
        </top>
        <bottom style="thin">
          <color rgb="FFBFBFBF"/>
        </bottom>
      </border>
      <protection locked="1"/>
    </dxf>
    <dxf>
      <font>
        <b val="0"/>
        <i val="0"/>
        <strike val="0"/>
        <condense val="0"/>
        <extend val="0"/>
        <outline val="0"/>
        <shadow val="0"/>
        <u val="none"/>
        <vertAlign val="baseline"/>
        <sz val="10"/>
        <color rgb="FF000000"/>
        <name val="Arial"/>
        <scheme val="none"/>
      </font>
      <numFmt numFmtId="167" formatCode="#,##0.000;\-#,##0.000;"/>
      <fill>
        <patternFill patternType="solid">
          <fgColor indexed="64"/>
          <bgColor rgb="FFF2F2F2"/>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protection locked="1"/>
    </dxf>
    <dxf>
      <font>
        <b val="0"/>
        <i val="0"/>
        <strike val="0"/>
        <condense val="0"/>
        <extend val="0"/>
        <outline val="0"/>
        <shadow val="0"/>
        <u val="none"/>
        <vertAlign val="baseline"/>
        <sz val="10"/>
        <color rgb="FF000000"/>
        <name val="Arial"/>
        <scheme val="none"/>
      </font>
      <numFmt numFmtId="167" formatCode="#,##0.000;\-#,##0.000;"/>
      <fill>
        <patternFill patternType="solid">
          <fgColor indexed="64"/>
          <bgColor rgb="FFF2F2F2"/>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protection locked="1"/>
    </dxf>
    <dxf>
      <font>
        <b val="0"/>
        <i val="0"/>
        <strike val="0"/>
        <condense val="0"/>
        <extend val="0"/>
        <outline val="0"/>
        <shadow val="0"/>
        <u val="none"/>
        <vertAlign val="baseline"/>
        <sz val="10"/>
        <color rgb="FF1F3864"/>
        <name val="Arial"/>
        <scheme val="none"/>
      </font>
      <numFmt numFmtId="0" formatCode="General"/>
      <fill>
        <patternFill patternType="solid">
          <fgColor indexed="64"/>
          <bgColor rgb="FFFFF2CC"/>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protection locked="0" hidden="0"/>
    </dxf>
    <dxf>
      <font>
        <b val="0"/>
        <i val="0"/>
        <sz val="10"/>
        <color rgb="FF1F3864"/>
        <name val="Arial"/>
        <scheme val="none"/>
      </font>
      <numFmt numFmtId="171" formatCode="0&quot;%&quot;"/>
      <fill>
        <patternFill patternType="solid">
          <fgColor indexed="64"/>
          <bgColor rgb="FFFFF2CC"/>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protection locked="0" hidden="0"/>
    </dxf>
    <dxf>
      <font>
        <b val="0"/>
        <i val="0"/>
        <strike val="0"/>
        <condense val="0"/>
        <extend val="0"/>
        <outline val="0"/>
        <shadow val="0"/>
        <u val="none"/>
        <vertAlign val="baseline"/>
        <sz val="10"/>
        <color rgb="FF1F3864"/>
        <name val="Arial"/>
        <scheme val="none"/>
      </font>
      <fill>
        <patternFill patternType="solid">
          <fgColor indexed="64"/>
          <bgColor rgb="FFFFF2CC"/>
        </patternFill>
      </fill>
      <alignment horizontal="left" vertical="center" wrapText="0" indent="0"/>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protection locked="0" hidden="0"/>
    </dxf>
    <dxf>
      <font>
        <b val="0"/>
        <i val="0"/>
        <strike val="0"/>
        <condense val="0"/>
        <extend val="0"/>
        <outline val="0"/>
        <shadow val="0"/>
        <u val="none"/>
        <vertAlign val="baseline"/>
        <sz val="10"/>
        <color rgb="FF1F3864"/>
        <name val="Arial"/>
        <scheme val="none"/>
      </font>
      <fill>
        <patternFill patternType="solid">
          <fgColor indexed="64"/>
          <bgColor rgb="FFFFF2CC"/>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protection locked="0" hidden="0"/>
    </dxf>
    <dxf>
      <font>
        <b val="0"/>
        <i val="0"/>
        <sz val="10"/>
        <color rgb="FF1F3864"/>
        <name val="Arial"/>
      </font>
      <fill>
        <patternFill patternType="solid">
          <fgColor indexed="64"/>
          <bgColor rgb="FFFFF2CC"/>
        </patternFill>
      </fill>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protection locked="0"/>
    </dxf>
    <dxf>
      <font>
        <b val="0"/>
        <i val="0"/>
        <sz val="10"/>
        <color rgb="FF000000"/>
        <name val="Arial"/>
      </font>
      <fill>
        <patternFill patternType="solid">
          <fgColor indexed="64"/>
          <bgColor rgb="FFF2F2F2"/>
        </patternFill>
      </fill>
      <alignment horizontal="center" vertical="center" wrapText="0" indent="0"/>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protection locked="1"/>
    </dxf>
    <dxf>
      <font>
        <b val="0"/>
        <i val="0"/>
        <sz val="10"/>
        <name val="Arial"/>
      </font>
      <alignment vertical="center" indent="0"/>
    </dxf>
    <dxf>
      <font>
        <b val="0"/>
        <i val="0"/>
        <strike val="0"/>
        <condense val="0"/>
        <extend val="0"/>
        <outline val="0"/>
        <shadow val="0"/>
        <u val="none"/>
        <vertAlign val="baseline"/>
        <sz val="10"/>
        <color rgb="FF000000"/>
        <name val="Arial"/>
        <scheme val="none"/>
      </font>
      <numFmt numFmtId="170" formatCode="0.0%;\-0.0%;&quot;-&quot;"/>
      <fill>
        <patternFill patternType="solid">
          <fgColor indexed="64"/>
          <bgColor rgb="FFF2F2F2"/>
        </patternFill>
      </fill>
      <alignment horizontal="right" vertical="bottom"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numFmt numFmtId="169" formatCode="#,##0.000;\-#,##0.000;0.000"/>
    </dxf>
    <dxf>
      <border outline="0">
        <left style="thin">
          <color rgb="FFBFBFBF"/>
        </left>
      </border>
    </dxf>
    <dxf>
      <alignment horizontal="general" vertical="bottom" textRotation="0" wrapText="1" indent="0" justifyLastLine="0" shrinkToFit="0" readingOrder="0"/>
    </dxf>
    <dxf>
      <border outline="0">
        <right style="thin">
          <color rgb="FFBFBFBF"/>
        </right>
      </border>
    </dxf>
    <dxf>
      <font>
        <b val="0"/>
        <i val="0"/>
        <sz val="9"/>
        <color rgb="FF1F3864"/>
        <name val="Arial"/>
      </font>
      <numFmt numFmtId="0" formatCode="General"/>
      <fill>
        <patternFill patternType="solid">
          <fgColor indexed="64"/>
          <bgColor rgb="FFFFF2CC"/>
        </patternFill>
      </fill>
      <alignment horizontal="right" vertical="center" wrapText="1" indent="0"/>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protection locked="0"/>
    </dxf>
    <dxf>
      <font>
        <b val="0"/>
        <i val="0"/>
        <sz val="10"/>
        <color rgb="FF000000"/>
        <name val="Arial"/>
        <scheme val="none"/>
      </font>
      <numFmt numFmtId="168" formatCode="#,##0.000;\-#,##0.000;&quot;-&quot;"/>
      <fill>
        <patternFill patternType="solid">
          <fgColor indexed="64"/>
          <bgColor rgb="FFF2F2F2"/>
        </patternFill>
      </fill>
      <alignment horizontal="right" vertical="center" textRotation="0" wrapText="0" indent="0" justifyLastLine="0" shrinkToFit="0" readingOrder="0"/>
      <border diagonalUp="0" diagonalDown="0" outline="0">
        <left style="thin">
          <color rgb="FFBFBFBF"/>
        </left>
        <right style="thin">
          <color rgb="FFBFBFBF"/>
        </right>
        <top style="thin">
          <color rgb="FFBFBFBF"/>
        </top>
        <bottom style="thin">
          <color rgb="FFBFBFBF"/>
        </bottom>
      </border>
      <protection locked="1" hidden="0"/>
    </dxf>
    <dxf>
      <font>
        <b val="0"/>
        <i val="0"/>
        <strike val="0"/>
        <condense val="0"/>
        <extend val="0"/>
        <outline val="0"/>
        <shadow val="0"/>
        <u val="none"/>
        <vertAlign val="baseline"/>
        <sz val="10"/>
        <color rgb="FF000000"/>
        <name val="Arial"/>
        <scheme val="none"/>
      </font>
      <numFmt numFmtId="172" formatCode="0%;\-0%;&quot;-&quot;"/>
      <fill>
        <patternFill patternType="solid">
          <fgColor indexed="64"/>
          <bgColor rgb="FFF2F2F2"/>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border>
      <protection locked="1"/>
    </dxf>
    <dxf>
      <font>
        <b val="0"/>
        <i val="0"/>
        <sz val="10"/>
        <color rgb="FF000000"/>
        <name val="Arial"/>
        <scheme val="none"/>
      </font>
      <numFmt numFmtId="168" formatCode="#,##0.000;\-#,##0.000;&quot;-&quot;"/>
      <fill>
        <patternFill patternType="solid">
          <fgColor indexed="64"/>
          <bgColor rgb="FFF2F2F2"/>
        </patternFill>
      </fill>
      <alignment horizontal="right" vertical="center" textRotation="0" wrapText="0" indent="0" justifyLastLine="0" shrinkToFit="0" readingOrder="0"/>
      <border diagonalUp="0" diagonalDown="0" outline="0">
        <left style="thin">
          <color rgb="FFBFBFBF"/>
        </left>
        <right style="thin">
          <color rgb="FFBFBFBF"/>
        </right>
        <top style="thin">
          <color rgb="FFBFBFBF"/>
        </top>
        <bottom style="thin">
          <color rgb="FFBFBFBF"/>
        </bottom>
      </border>
      <protection locked="1"/>
    </dxf>
    <dxf>
      <font>
        <b val="0"/>
        <i val="0"/>
        <strike val="0"/>
        <condense val="0"/>
        <extend val="0"/>
        <outline val="0"/>
        <shadow val="0"/>
        <u val="none"/>
        <vertAlign val="baseline"/>
        <sz val="10"/>
        <color rgb="FF000000"/>
        <name val="Arial"/>
        <scheme val="none"/>
      </font>
      <numFmt numFmtId="167" formatCode="#,##0.000;\-#,##0.000;"/>
      <fill>
        <patternFill patternType="solid">
          <fgColor indexed="64"/>
          <bgColor rgb="FFF2F2F2"/>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protection locked="1"/>
    </dxf>
    <dxf>
      <font>
        <b val="0"/>
        <i val="0"/>
        <strike val="0"/>
        <condense val="0"/>
        <extend val="0"/>
        <outline val="0"/>
        <shadow val="0"/>
        <u val="none"/>
        <vertAlign val="baseline"/>
        <sz val="10"/>
        <color rgb="FF000000"/>
        <name val="Arial"/>
        <scheme val="none"/>
      </font>
      <numFmt numFmtId="167" formatCode="#,##0.000;\-#,##0.000;"/>
      <fill>
        <patternFill patternType="solid">
          <fgColor indexed="64"/>
          <bgColor rgb="FFF2F2F2"/>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protection locked="1"/>
    </dxf>
    <dxf>
      <font>
        <b val="0"/>
        <i val="0"/>
        <strike val="0"/>
        <condense val="0"/>
        <extend val="0"/>
        <outline val="0"/>
        <shadow val="0"/>
        <u val="none"/>
        <vertAlign val="baseline"/>
        <sz val="10"/>
        <color rgb="FF1F3864"/>
        <name val="Arial"/>
        <scheme val="none"/>
      </font>
      <numFmt numFmtId="0" formatCode="General"/>
      <fill>
        <patternFill patternType="solid">
          <fgColor indexed="64"/>
          <bgColor rgb="FFFFF2CC"/>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protection locked="0" hidden="0"/>
    </dxf>
    <dxf>
      <font>
        <b val="0"/>
        <i val="0"/>
        <sz val="10"/>
        <color rgb="FF1F3864"/>
        <name val="Arial"/>
        <scheme val="none"/>
      </font>
      <numFmt numFmtId="171" formatCode="0&quot;%&quot;"/>
      <fill>
        <patternFill patternType="solid">
          <fgColor indexed="64"/>
          <bgColor rgb="FFFFF2CC"/>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protection locked="0" hidden="0"/>
    </dxf>
    <dxf>
      <font>
        <b val="0"/>
        <i val="0"/>
        <strike val="0"/>
        <condense val="0"/>
        <extend val="0"/>
        <outline val="0"/>
        <shadow val="0"/>
        <u val="none"/>
        <vertAlign val="baseline"/>
        <sz val="10"/>
        <color rgb="FF1F3864"/>
        <name val="Arial"/>
        <scheme val="none"/>
      </font>
      <fill>
        <patternFill patternType="solid">
          <fgColor indexed="64"/>
          <bgColor rgb="FFFFF2CC"/>
        </patternFill>
      </fill>
      <alignment horizontal="left" vertical="center" wrapText="0" indent="0"/>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protection locked="0" hidden="0"/>
    </dxf>
    <dxf>
      <font>
        <b val="0"/>
        <i val="0"/>
        <strike val="0"/>
        <condense val="0"/>
        <extend val="0"/>
        <outline val="0"/>
        <shadow val="0"/>
        <u val="none"/>
        <vertAlign val="baseline"/>
        <sz val="10"/>
        <color rgb="FF1F3864"/>
        <name val="Arial"/>
        <scheme val="none"/>
      </font>
      <fill>
        <patternFill patternType="solid">
          <fgColor indexed="64"/>
          <bgColor rgb="FFFFF2CC"/>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protection locked="0" hidden="0"/>
    </dxf>
    <dxf>
      <font>
        <b val="0"/>
        <i val="0"/>
        <sz val="10"/>
        <color rgb="FF1F3864"/>
        <name val="Arial"/>
      </font>
      <fill>
        <patternFill patternType="solid">
          <fgColor indexed="64"/>
          <bgColor rgb="FFFFF2CC"/>
        </patternFill>
      </fill>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protection locked="0"/>
    </dxf>
    <dxf>
      <font>
        <b val="0"/>
        <i val="0"/>
        <sz val="10"/>
        <color rgb="FF000000"/>
        <name val="Arial"/>
      </font>
      <numFmt numFmtId="0" formatCode="General"/>
      <fill>
        <patternFill patternType="solid">
          <fgColor indexed="64"/>
          <bgColor rgb="FFF2F2F2"/>
        </patternFill>
      </fill>
      <alignment horizontal="center" vertical="center" wrapText="0" indent="0"/>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protection locked="1"/>
    </dxf>
    <dxf>
      <font>
        <b val="0"/>
        <i val="0"/>
        <sz val="10"/>
        <name val="Arial"/>
      </font>
      <alignment vertical="center" indent="0"/>
    </dxf>
    <dxf>
      <numFmt numFmtId="0" formatCode="General"/>
    </dxf>
    <dxf>
      <font>
        <b val="0"/>
        <i val="0"/>
        <strike val="0"/>
        <condense val="0"/>
        <extend val="0"/>
        <outline val="0"/>
        <shadow val="0"/>
        <u val="none"/>
        <vertAlign val="baseline"/>
        <sz val="10"/>
        <color rgb="FF1F3864"/>
        <name val="Arial"/>
        <scheme val="none"/>
      </font>
      <fill>
        <patternFill patternType="solid">
          <fgColor indexed="64"/>
          <bgColor rgb="FFFFF2CC"/>
        </patternFill>
      </fill>
      <alignment horizontal="center" vertical="bottom"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10"/>
        <color rgb="FF1F3864"/>
        <name val="Arial"/>
        <family val="2"/>
        <scheme val="none"/>
      </font>
      <fill>
        <patternFill patternType="solid">
          <fgColor indexed="64"/>
          <bgColor rgb="FFFFF2CC"/>
        </patternFill>
      </fill>
      <border diagonalUp="0" diagonalDown="0">
        <left style="thin">
          <color rgb="FFBFBFBF"/>
        </left>
        <right style="thin">
          <color rgb="FFBFBFBF"/>
        </right>
        <top style="thin">
          <color rgb="FFBFBFBF"/>
        </top>
        <bottom style="thin">
          <color rgb="FFBFBFBF"/>
        </bottom>
        <vertical/>
        <horizontal/>
      </border>
      <protection locked="0" hidden="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1F4E3A"/>
                </a:solidFill>
                <a:latin typeface="Arial"/>
                <a:ea typeface="Arial"/>
                <a:cs typeface="Arial"/>
              </a:defRPr>
            </a:pPr>
            <a:r>
              <a:rPr lang="en-US"/>
              <a:t>Emissions by Scope</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F4E3A"/>
              </a:solidFill>
              <a:latin typeface="Arial"/>
              <a:ea typeface="Arial"/>
              <a:cs typeface="Arial"/>
            </a:defRPr>
          </a:pPr>
          <a:endParaRPr lang="en-US"/>
        </a:p>
      </c:txPr>
    </c:title>
    <c:autoTitleDeleted val="0"/>
    <c:plotArea>
      <c:layout/>
      <c:doughnutChart>
        <c:varyColors val="1"/>
        <c:ser>
          <c:idx val="0"/>
          <c:order val="0"/>
          <c:dPt>
            <c:idx val="0"/>
            <c:bubble3D val="0"/>
            <c:spPr>
              <a:solidFill>
                <a:srgbClr val="A9D8B8"/>
              </a:solidFill>
              <a:ln w="19050">
                <a:solidFill>
                  <a:schemeClr val="lt1"/>
                </a:solidFill>
              </a:ln>
              <a:effectLst/>
            </c:spPr>
            <c:extLst>
              <c:ext xmlns:c16="http://schemas.microsoft.com/office/drawing/2014/chart" uri="{C3380CC4-5D6E-409C-BE32-E72D297353CC}">
                <c16:uniqueId val="{00000001-7D87-4BF8-BFD9-F2403E874C75}"/>
              </c:ext>
            </c:extLst>
          </c:dPt>
          <c:dPt>
            <c:idx val="1"/>
            <c:bubble3D val="0"/>
            <c:spPr>
              <a:solidFill>
                <a:srgbClr val="F6C667"/>
              </a:solidFill>
              <a:ln w="19050">
                <a:solidFill>
                  <a:schemeClr val="lt1"/>
                </a:solidFill>
              </a:ln>
              <a:effectLst/>
            </c:spPr>
            <c:extLst>
              <c:ext xmlns:c16="http://schemas.microsoft.com/office/drawing/2014/chart" uri="{C3380CC4-5D6E-409C-BE32-E72D297353CC}">
                <c16:uniqueId val="{00000002-7D87-4BF8-BFD9-F2403E874C7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F4E3A"/>
                    </a:solidFill>
                    <a:latin typeface="Arial"/>
                    <a:ea typeface="Arial"/>
                    <a:cs typeface="Arial"/>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'Activity Data'!$I$9:$I$10</c:f>
              <c:strCache>
                <c:ptCount val="2"/>
                <c:pt idx="0">
                  <c:v>Scope 1</c:v>
                </c:pt>
                <c:pt idx="1">
                  <c:v>Scope 2</c:v>
                </c:pt>
              </c:strCache>
            </c:strRef>
          </c:cat>
          <c:val>
            <c:numRef>
              <c:f>'Activity Data'!$J$9:$J$10</c:f>
              <c:numCache>
                <c:formatCode>#,##0.000</c:formatCode>
                <c:ptCount val="2"/>
                <c:pt idx="0">
                  <c:v>102.517825</c:v>
                </c:pt>
                <c:pt idx="1">
                  <c:v>276.25684000000001</c:v>
                </c:pt>
              </c:numCache>
            </c:numRef>
          </c:val>
          <c:extLst>
            <c:ext xmlns:c16="http://schemas.microsoft.com/office/drawing/2014/chart" uri="{C3380CC4-5D6E-409C-BE32-E72D297353CC}">
              <c16:uniqueId val="{00000000-7D87-4BF8-BFD9-F2403E874C75}"/>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15875" cap="flat" cmpd="sng" algn="ctr">
      <a:solidFill>
        <a:srgbClr val="2E7D5B"/>
      </a:solidFill>
      <a:prstDash val="solid"/>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1F4E3A"/>
                </a:solidFill>
                <a:latin typeface="Arial"/>
                <a:ea typeface="Arial"/>
                <a:cs typeface="Arial"/>
              </a:defRPr>
            </a:pPr>
            <a:r>
              <a:rPr lang="en-US"/>
              <a:t>Emissions by Country</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F4E3A"/>
              </a:solidFill>
              <a:latin typeface="Arial"/>
              <a:ea typeface="Arial"/>
              <a:cs typeface="Arial"/>
            </a:defRPr>
          </a:pPr>
          <a:endParaRPr lang="en-US"/>
        </a:p>
      </c:txPr>
    </c:title>
    <c:autoTitleDeleted val="0"/>
    <c:plotArea>
      <c:layout/>
      <c:doughnutChart>
        <c:varyColors val="1"/>
        <c:ser>
          <c:idx val="0"/>
          <c:order val="0"/>
          <c:dPt>
            <c:idx val="0"/>
            <c:bubble3D val="0"/>
            <c:spPr>
              <a:solidFill>
                <a:srgbClr val="A9D8B8"/>
              </a:solidFill>
              <a:ln w="19050">
                <a:solidFill>
                  <a:schemeClr val="lt1"/>
                </a:solidFill>
              </a:ln>
              <a:effectLst/>
            </c:spPr>
            <c:extLst>
              <c:ext xmlns:c16="http://schemas.microsoft.com/office/drawing/2014/chart" uri="{C3380CC4-5D6E-409C-BE32-E72D297353CC}">
                <c16:uniqueId val="{00000001-78F8-4BB4-A0CD-DAC742B16261}"/>
              </c:ext>
            </c:extLst>
          </c:dPt>
          <c:dPt>
            <c:idx val="1"/>
            <c:bubble3D val="0"/>
            <c:spPr>
              <a:solidFill>
                <a:srgbClr val="F6C667"/>
              </a:solidFill>
              <a:ln w="19050">
                <a:solidFill>
                  <a:schemeClr val="lt1"/>
                </a:solidFill>
              </a:ln>
              <a:effectLst/>
            </c:spPr>
            <c:extLst>
              <c:ext xmlns:c16="http://schemas.microsoft.com/office/drawing/2014/chart" uri="{C3380CC4-5D6E-409C-BE32-E72D297353CC}">
                <c16:uniqueId val="{00000002-78F8-4BB4-A0CD-DAC742B1626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F4E3A"/>
                    </a:solidFill>
                    <a:latin typeface="Arial"/>
                    <a:ea typeface="Arial"/>
                    <a:cs typeface="Arial"/>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'Activity Data'!$I$13:$I$14</c:f>
              <c:strCache>
                <c:ptCount val="2"/>
                <c:pt idx="0">
                  <c:v>Australia</c:v>
                </c:pt>
                <c:pt idx="1">
                  <c:v>United Kingdom</c:v>
                </c:pt>
              </c:strCache>
            </c:strRef>
          </c:cat>
          <c:val>
            <c:numRef>
              <c:f>'Activity Data'!$J$13:$J$14</c:f>
              <c:numCache>
                <c:formatCode>#,##0.000</c:formatCode>
                <c:ptCount val="2"/>
                <c:pt idx="0">
                  <c:v>327.40282500000001</c:v>
                </c:pt>
                <c:pt idx="1">
                  <c:v>51.371840000000006</c:v>
                </c:pt>
              </c:numCache>
            </c:numRef>
          </c:val>
          <c:extLst>
            <c:ext xmlns:c16="http://schemas.microsoft.com/office/drawing/2014/chart" uri="{C3380CC4-5D6E-409C-BE32-E72D297353CC}">
              <c16:uniqueId val="{00000000-78F8-4BB4-A0CD-DAC742B16261}"/>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15875" cap="flat" cmpd="sng" algn="ctr">
      <a:solidFill>
        <a:srgbClr val="2E7D5B"/>
      </a:solidFill>
      <a:prstDash val="solid"/>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57150</xdr:colOff>
      <xdr:row>18</xdr:row>
      <xdr:rowOff>171450</xdr:rowOff>
    </xdr:from>
    <xdr:to>
      <xdr:col>12</xdr:col>
      <xdr:colOff>295275</xdr:colOff>
      <xdr:row>36</xdr:row>
      <xdr:rowOff>171450</xdr:rowOff>
    </xdr:to>
    <xdr:graphicFrame macro="">
      <xdr:nvGraphicFramePr>
        <xdr:cNvPr id="4" name="Chart 3">
          <a:extLst>
            <a:ext uri="{FF2B5EF4-FFF2-40B4-BE49-F238E27FC236}">
              <a16:creationId xmlns:a16="http://schemas.microsoft.com/office/drawing/2014/main" id="{2F667311-6634-CDDB-678D-D72C314088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447675</xdr:colOff>
      <xdr:row>18</xdr:row>
      <xdr:rowOff>161925</xdr:rowOff>
    </xdr:from>
    <xdr:to>
      <xdr:col>18</xdr:col>
      <xdr:colOff>447675</xdr:colOff>
      <xdr:row>36</xdr:row>
      <xdr:rowOff>161925</xdr:rowOff>
    </xdr:to>
    <xdr:graphicFrame macro="">
      <xdr:nvGraphicFramePr>
        <xdr:cNvPr id="5" name="Chart 4">
          <a:extLst>
            <a:ext uri="{FF2B5EF4-FFF2-40B4-BE49-F238E27FC236}">
              <a16:creationId xmlns:a16="http://schemas.microsoft.com/office/drawing/2014/main" id="{B34DC3A4-F867-4A2F-1D88-CA1497F1B6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Activity" displayName="tblActivity" ref="A8:G62">
  <autoFilter ref="A8:G62" xr:uid="{00000000-0009-0000-0100-000001000000}"/>
  <tableColumns count="7">
    <tableColumn id="1" xr3:uid="{00000000-0010-0000-0000-000001000000}" name="Country"/>
    <tableColumn id="2" xr3:uid="{00000000-0010-0000-0000-000002000000}" name="Source"/>
    <tableColumn id="3" xr3:uid="{00000000-0010-0000-0000-000003000000}" name="Activity Data"/>
    <tableColumn id="4" xr3:uid="{00000000-0010-0000-0000-000004000000}" name="Unit"/>
    <tableColumn id="5" xr3:uid="{00000000-0010-0000-0000-000005000000}" name="Scope"/>
    <tableColumn id="6" xr3:uid="{00000000-0010-0000-0000-000006000000}" name="Emission Factor (kg CO2e per unit)"/>
    <tableColumn id="7" xr3:uid="{00000000-0010-0000-0000-000007000000}" name="tCO2e"/>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Factors" displayName="tblFactors" ref="A5:I15">
  <autoFilter ref="A5:I15" xr:uid="{00000000-0009-0000-0100-000002000000}"/>
  <tableColumns count="9">
    <tableColumn id="1" xr3:uid="{00000000-0010-0000-0100-000001000000}" name="Country"/>
    <tableColumn id="2" xr3:uid="{00000000-0010-0000-0100-000002000000}" name="Scope"/>
    <tableColumn id="3" xr3:uid="{00000000-0010-0000-0100-000003000000}" name="Source"/>
    <tableColumn id="4" xr3:uid="{00000000-0010-0000-0100-000004000000}" name="Unit"/>
    <tableColumn id="5" xr3:uid="{00000000-0010-0000-0100-000005000000}" name="Emission Factor"/>
    <tableColumn id="6" xr3:uid="{00000000-0010-0000-0100-000006000000}" name="Emission Factor Unit"/>
    <tableColumn id="7" xr3:uid="{00000000-0010-0000-0100-000007000000}" name="Source / Reference"/>
    <tableColumn id="8" xr3:uid="{00000000-0010-0000-0100-000008000000}" name="Factor Year"/>
    <tableColumn id="9" xr3:uid="{00000000-0010-0000-0100-000009000000}" name="Key"/>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Target" displayName="tblTarget" ref="A10:J11">
  <autoFilter ref="A10:J11" xr:uid="{00000000-0009-0000-0100-000003000000}"/>
  <tableColumns count="10">
    <tableColumn id="1" xr3:uid="{00000000-0010-0000-0200-000001000000}" name="Target Name"/>
    <tableColumn id="2" xr3:uid="{00000000-0010-0000-0200-000002000000}" name="Baseline Year" dataDxfId="44"/>
    <tableColumn id="3" xr3:uid="{00000000-0010-0000-0200-000003000000}" name="Baseline Emissions (tCO2e)"/>
    <tableColumn id="4" xr3:uid="{00000000-0010-0000-0200-000004000000}" name="Target Year"/>
    <tableColumn id="5" xr3:uid="{00000000-0010-0000-0200-000005000000}" name="Impact Unit" dataDxfId="43"/>
    <tableColumn id="6" xr3:uid="{00000000-0010-0000-0200-000006000000}" name="Target Input" dataDxfId="42"/>
    <tableColumn id="7" xr3:uid="{00000000-0010-0000-0200-000007000000}" name="Target Reduction %">
      <calculatedColumnFormula>IF(tblTarget[[#This Row],[Impact Unit]]="Percentage",IF(tblTarget[[#This Row],[Target Input]]&lt;=1,tblTarget[[#This Row],[Target Input]],tblTarget[[#This Row],[Target Input]]/100),IF(tblTarget[[#This Row],[Baseline Emissions (tCO2e)]]&lt;=0,0,tblTarget[[#This Row],[Target Input]]/tblTarget[[#This Row],[Baseline Emissions (tCO2e)]]))</calculatedColumnFormula>
    </tableColumn>
    <tableColumn id="8" xr3:uid="{00000000-0010-0000-0200-000008000000}" name="Projected Remaining Emission (tCO2e)">
      <calculatedColumnFormula>IF(tblTarget[[#This Row],[Impact Unit]]="Percentage",tblTarget[[#This Row],[Baseline Emissions (tCO2e)]]*(1-tblTarget[[#This Row],[Target Reduction %]]),tblTarget[[#This Row],[Baseline Emissions (tCO2e)]]-tblTarget[[#This Row],[Target Input]])</calculatedColumnFormula>
    </tableColumn>
    <tableColumn id="9" xr3:uid="{00000000-0010-0000-0200-000009000000}" name="Required Reduction (tCO2e)">
      <calculatedColumnFormula>tblTarget[[#This Row],[Baseline Emissions (tCO2e)]]-tblTarget[[#This Row],[Projected Remaining Emission (tCO2e)]]</calculatedColumnFormula>
    </tableColumn>
    <tableColumn id="10" xr3:uid="{00000000-0010-0000-0200-00000A000000}" name="Notes"/>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DecarbLevers_S1" displayName="tblDecarbLevers_S1" ref="A14:L26" dataDxfId="41">
  <autoFilter ref="A14:L26" xr:uid="{00000000-0009-0000-0100-000004000000}"/>
  <tableColumns count="12">
    <tableColumn id="1" xr3:uid="{00000000-0010-0000-0300-000001000000}" name="Lever ID" dataDxfId="40">
      <calculatedColumnFormula array="1">IF(tblDecarbLevers_S1[[#This Row],[Lever Name]]="","","L"&amp;TEXT(ROW()-ROW(tblDecarbLevers_S1[#Headers]),"000"))</calculatedColumnFormula>
    </tableColumn>
    <tableColumn id="2" xr3:uid="{00000000-0010-0000-0300-000002000000}" name="Lever Name" dataDxfId="39"/>
    <tableColumn id="4" xr3:uid="{00000000-0010-0000-0300-000004000000}" name="Scope" dataDxfId="38"/>
    <tableColumn id="6" xr3:uid="{00000000-0010-0000-0300-000006000000}" name="Emission Source" dataDxfId="37"/>
    <tableColumn id="7" xr3:uid="{00000000-0010-0000-0300-000007000000}" name="Impact Unit" dataDxfId="36"/>
    <tableColumn id="8" xr3:uid="{00000000-0010-0000-0300-000008000000}" name="Impact Input" dataDxfId="35"/>
    <tableColumn id="9" xr3:uid="{00000000-0010-0000-0300-000009000000}" name="Applicable Baseline Emissions (tCO2e)" dataDxfId="34">
      <calculatedColumnFormula array="1">IF(tblDecarbLevers_S1[[#This Row],[Lever Name]]="",0,MAX(0,SUMPRODUCT(IF(((tblActivity[Scope]=tblDecarbLevers_S1[[#This Row],[Scope]])+(tblDecarbLevers_S1[[#This Row],[Scope]]="Scope 1 and 2")&gt;0)*((tblActivity[Source]=tblDecarbLevers_S1[[#This Row],[Emission Source]])+(tblDecarbLevers_S1[[#This Row],[Emission Source]]="All Sources")+((tblDecarbLevers_S1[[#This Row],[Emission Source]]="Liquid Fuels")*((tblActivity[Source]="Petrol")+(tblActivity[Source]="Diesel")))+((tblDecarbLevers_S1[[#This Row],[Emission Source]]="Heat &amp; Steam")*((tblActivity[Source]="Purchased Heating")+(tblActivity[Source]="Purchased Steam")))&gt;0),tblActivity[tCO2e],0))-tblDecarbLevers_S1[[#This Row],[Less: Claimed by Earlier Levers (tCO2e)]]))</calculatedColumnFormula>
    </tableColumn>
    <tableColumn id="10" xr3:uid="{00000000-0010-0000-0300-00000A000000}" name="Less: Claimed by Earlier Levers (tCO2e)" dataDxfId="33">
      <calculatedColumnFormula array="1">_xlfn.LET(_xlpm.k,ROW()-ROW(tblDecarbLevers_S1[#Headers]),IF(OR(tblDecarbLevers_S1[[#This Row],[Lever Name]]="",_xlpm.k=1),0,_xlfn.LET(_xlpm.rScope,INDEX(tblDecarbLevers_S1[Scope],1):INDEX(tblDecarbLevers_S1[Scope],_xlpm.k-1),_xlpm.rSource,INDEX(tblDecarbLevers_S1[Emission Source],1):INDEX(tblDecarbLevers_S1[Emission Source],_xlpm.k-1),_xlpm.rImpact,INDEX(tblDecarbLevers_S1[Calculated Impact (tCO2e)],1):INDEX(tblDecarbLevers_S1[Calculated Impact (tCO2e)],_xlpm.k-1),SUMPRODUCT(((_xlpm.rScope=tblDecarbLevers_S1[[#This Row],[Scope]])+(tblDecarbLevers_S1[[#This Row],[Scope]]="Scope 1 and 2")+(_xlpm.rScope="Scope 1 and 2")&gt;0)*((_xlpm.rSource=tblDecarbLevers_S1[[#This Row],[Emission Source]])+(tblDecarbLevers_S1[[#This Row],[Emission Source]]="All Sources")+(_xlpm.rSource="All Sources")+((tblDecarbLevers_S1[[#This Row],[Emission Source]]="Liquid Fuels")*((_xlpm.rSource="Petrol")+(_xlpm.rSource="Diesel")))+((_xlpm.rSource="Liquid Fuels")*((tblDecarbLevers_S1[[#This Row],[Emission Source]]="Petrol")+(tblDecarbLevers_S1[[#This Row],[Emission Source]]="Diesel")))+((tblDecarbLevers_S1[[#This Row],[Emission Source]]="Heat &amp; Steam")*((_xlpm.rSource="Purchased Heating")+(_xlpm.rSource="Purchased Steam")))+((_xlpm.rSource="Heat &amp; Steam")*((tblDecarbLevers_S1[[#This Row],[Emission Source]]="Purchased Heating")+(tblDecarbLevers_S1[[#This Row],[Emission Source]]="Purchased Steam")))&gt;0)*_xlpm.rImpact))))</calculatedColumnFormula>
    </tableColumn>
    <tableColumn id="11" xr3:uid="{00000000-0010-0000-0300-00000B000000}" name="Calculated Impact (tCO2e)" dataDxfId="32">
      <calculatedColumnFormula>IF(OR(tblDecarbLevers_S1[[#This Row],[Lever Name]]="",tblDecarbLevers_S1[[#This Row],[Impact Unit]]=""),0,IF(tblDecarbLevers_S1[[#This Row],[Impact Unit]]="Percentage",tblDecarbLevers_S1[[#This Row],[Applicable Baseline Emissions (tCO2e)]]*N(tblDecarbLevers_S1[[#This Row],[Impact Input]])/100,MIN(N(tblDecarbLevers_S1[[#This Row],[Impact Input]]),tblDecarbLevers_S1[[#This Row],[Applicable Baseline Emissions (tCO2e)]])))</calculatedColumnFormula>
    </tableColumn>
    <tableColumn id="12" xr3:uid="{00000000-0010-0000-0300-00000C000000}" name="Contribution to Required Reduction %" dataDxfId="31" dataCellStyle="Percent">
      <calculatedColumnFormula array="1">IF(OR(tblDecarbLevers_S1[[#This Row],[Lever Name]]="",tblTarget[Required Reduction (tCO2e)]&lt;=0),0,tblDecarbLevers_S1[[#This Row],[Calculated Impact (tCO2e)]]/tblTarget[Required Reduction (tCO2e)])</calculatedColumnFormula>
    </tableColumn>
    <tableColumn id="13" xr3:uid="{00000000-0010-0000-0300-00000D000000}" name="Projected Remaining Emission (tCO2e)" dataDxfId="30">
      <calculatedColumnFormula array="1">IF(tblDecarbLevers_S1[[#This Row],[Lever Name]]="",0,ROUND(tblTarget[Baseline Emissions (tCO2e)]-SUM(INDEX(tblDecarbLevers_S1[Calculated Impact (tCO2e)],1):tblDecarbLevers_S1[[#This Row],[Calculated Impact (tCO2e)]]),6))</calculatedColumnFormula>
    </tableColumn>
    <tableColumn id="17" xr3:uid="{1D8532AD-7E42-42BC-A60C-C2E60A28806A}" name="Notes" dataDxfId="29"/>
  </tableColumns>
  <tableStyleInfo name="TableStyleLight1"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Waterfall_S1" displayName="tblWaterfall_S1" ref="N13:S27">
  <autoFilter ref="N13:S27" xr:uid="{00000000-0009-0000-0100-000005000000}"/>
  <tableColumns count="6">
    <tableColumn id="16" xr3:uid="{00000000-0010-0000-0400-000010000000}" name="Sequence" dataDxfId="28"/>
    <tableColumn id="17" xr3:uid="{00000000-0010-0000-0400-000011000000}" name="Waterfall Category" dataDxfId="27"/>
    <tableColumn id="18" xr3:uid="{00000000-0010-0000-0400-000012000000}" name="Waterfall Type" dataDxfId="26"/>
    <tableColumn id="19" xr3:uid="{00000000-0010-0000-0400-000013000000}" name="Amount (tCO2e)" dataDxfId="25"/>
    <tableColumn id="1" xr3:uid="{D5C99A79-A154-441E-8916-CB1B4FC6D253}" name="Contribution to Required Reduction %" dataDxfId="24">
      <calculatedColumnFormula array="1">IF(tblWaterfall_S1[[#This Row],[Waterfall Category]]="","",IF(OR(tblWaterfall_S1[[#This Row],[Waterfall Type]]="Baseline",tblWaterfall_S1[[#This Row],[Waterfall Type]]="Planned Residual",tblWaterfall_S1[[#This Row],[Waterfall Type]]="Target"),0,IF(tblTarget[Required Reduction (tCO2e)]&lt;=0,0,-tblWaterfall_S1[[#This Row],[Amount (tCO2e)]]/tblTarget[Required Reduction (tCO2e)])))</calculatedColumnFormula>
    </tableColumn>
    <tableColumn id="20" xr3:uid="{00000000-0010-0000-0400-000014000000}" name="Scope"/>
  </tableColumns>
  <tableStyleInfo name="TableStyleLight1"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B093118-5761-4505-BCCF-9572A4FB4298}" name="tblDecarbLevers_S2" displayName="tblDecarbLevers_S2" ref="A30:L42" dataDxfId="23">
  <autoFilter ref="A30:L42" xr:uid="{FB093118-5761-4505-BCCF-9572A4FB4298}"/>
  <tableColumns count="12">
    <tableColumn id="1" xr3:uid="{39DA23D1-5056-45B5-8EE1-AEE8C4822E77}" name="Lever ID" dataDxfId="22">
      <calculatedColumnFormula array="1">IF(tblDecarbLevers_S2[[#This Row],[Lever Name]]="","","L"&amp;TEXT(ROW()-ROW(tblDecarbLevers_S2[#Headers]),"000"))</calculatedColumnFormula>
    </tableColumn>
    <tableColumn id="2" xr3:uid="{455FCA1E-1417-43D1-B2CA-3D7F4D0D55FD}" name="Lever Name" dataDxfId="21"/>
    <tableColumn id="4" xr3:uid="{5F475146-B2A5-4EF4-95FE-BEDBE3F9C04B}" name="Scope" dataDxfId="20"/>
    <tableColumn id="6" xr3:uid="{C5A0EA3B-D7B9-4F82-A76E-683498097AAE}" name="Emission Source" dataDxfId="19"/>
    <tableColumn id="7" xr3:uid="{9392D380-39CC-4772-BEC4-29A215BE1DC2}" name="Impact Unit" dataDxfId="18"/>
    <tableColumn id="8" xr3:uid="{A6F4B0E9-C968-43D0-88CC-44D6708F7119}" name="Impact Input" dataDxfId="17"/>
    <tableColumn id="9" xr3:uid="{7F791C5F-8CA4-473D-96AD-ABC31D43AE2C}" name="Applicable Baseline Emissions (tCO2e)" dataDxfId="16">
      <calculatedColumnFormula array="1">IF(tblDecarbLevers_S2[[#This Row],[Lever Name]]="",0,MAX(0,SUMPRODUCT(IF(((tblActivity[Scope]=tblDecarbLevers_S2[[#This Row],[Scope]])+(tblDecarbLevers_S2[[#This Row],[Scope]]="Scope 1 and 2")&gt;0)*((tblActivity[Source]=tblDecarbLevers_S2[[#This Row],[Emission Source]])+(tblDecarbLevers_S2[[#This Row],[Emission Source]]="All Sources")+((tblDecarbLevers_S2[[#This Row],[Emission Source]]="Liquid Fuels")*((tblActivity[Source]="Petrol")+(tblActivity[Source]="Diesel")))+((tblDecarbLevers_S2[[#This Row],[Emission Source]]="Heat &amp; Steam")*((tblActivity[Source]="Purchased Heating")+(tblActivity[Source]="Purchased Steam")))&gt;0),tblActivity[tCO2e],0))-tblDecarbLevers_S2[[#This Row],[Less: Claimed by Earlier Levers (tCO2e)]]))</calculatedColumnFormula>
    </tableColumn>
    <tableColumn id="10" xr3:uid="{38C39751-B47D-4659-81AC-6B489B14F177}" name="Less: Claimed by Earlier Levers (tCO2e)" dataDxfId="15">
      <calculatedColumnFormula array="1">_xlfn.LET(_xlpm.k,ROW()-ROW(tblDecarbLevers_S2[#Headers]),IF(OR(tblDecarbLevers_S2[[#This Row],[Lever Name]]="",_xlpm.k=1),0,_xlfn.LET(_xlpm.rScope,INDEX(tblDecarbLevers_S2[Scope],1):INDEX(tblDecarbLevers_S2[Scope],_xlpm.k-1),_xlpm.rSource,INDEX(tblDecarbLevers_S2[Emission Source],1):INDEX(tblDecarbLevers_S2[Emission Source],_xlpm.k-1),_xlpm.rImpact,INDEX(tblDecarbLevers_S2[Calculated Impact (tCO2e)],1):INDEX(tblDecarbLevers_S2[Calculated Impact (tCO2e)],_xlpm.k-1),SUMPRODUCT(((_xlpm.rScope=tblDecarbLevers_S2[[#This Row],[Scope]])+(tblDecarbLevers_S2[[#This Row],[Scope]]="Scope 1 and 2")+(_xlpm.rScope="Scope 1 and 2")&gt;0)*((_xlpm.rSource=tblDecarbLevers_S2[[#This Row],[Emission Source]])+(tblDecarbLevers_S2[[#This Row],[Emission Source]]="All Sources")+(_xlpm.rSource="All Sources")+((tblDecarbLevers_S2[[#This Row],[Emission Source]]="Liquid Fuels")*((_xlpm.rSource="Petrol")+(_xlpm.rSource="Diesel")))+((_xlpm.rSource="Liquid Fuels")*((tblDecarbLevers_S2[[#This Row],[Emission Source]]="Petrol")+(tblDecarbLevers_S2[[#This Row],[Emission Source]]="Diesel")))+((tblDecarbLevers_S2[[#This Row],[Emission Source]]="Heat &amp; Steam")*((_xlpm.rSource="Purchased Heating")+(_xlpm.rSource="Purchased Steam")))+((_xlpm.rSource="Heat &amp; Steam")*((tblDecarbLevers_S2[[#This Row],[Emission Source]]="Purchased Heating")+(tblDecarbLevers_S2[[#This Row],[Emission Source]]="Purchased Steam")))&gt;0)*_xlpm.rImpact))))</calculatedColumnFormula>
    </tableColumn>
    <tableColumn id="11" xr3:uid="{A58F994E-2B28-4DAB-944D-3FDBCEAD0E7C}" name="Calculated Impact (tCO2e)" dataDxfId="14">
      <calculatedColumnFormula>IF(OR(tblDecarbLevers_S2[[#This Row],[Lever Name]]="",tblDecarbLevers_S2[[#This Row],[Impact Unit]]=""),0,IF(tblDecarbLevers_S2[[#This Row],[Impact Unit]]="Percentage",tblDecarbLevers_S2[[#This Row],[Applicable Baseline Emissions (tCO2e)]]*N(tblDecarbLevers_S2[[#This Row],[Impact Input]])/100,MIN(N(tblDecarbLevers_S2[[#This Row],[Impact Input]]),tblDecarbLevers_S2[[#This Row],[Applicable Baseline Emissions (tCO2e)]])))</calculatedColumnFormula>
    </tableColumn>
    <tableColumn id="12" xr3:uid="{E07D0948-AF20-4269-A9B3-58AF01AD0D9E}" name="Contribution to Required Reduction %" dataDxfId="13" dataCellStyle="Percent">
      <calculatedColumnFormula array="1">IF(OR(tblDecarbLevers_S2[[#This Row],[Lever Name]]="",tblTarget[Required Reduction (tCO2e)]&lt;=0),0,tblDecarbLevers_S2[[#This Row],[Calculated Impact (tCO2e)]]/tblTarget[Required Reduction (tCO2e)])</calculatedColumnFormula>
    </tableColumn>
    <tableColumn id="13" xr3:uid="{292EEF3E-2CED-44F4-8D16-76C774E22EBF}" name="Projected Remaining Emission (tCO2e)" dataDxfId="12">
      <calculatedColumnFormula array="1">IF(tblDecarbLevers_S2[[#This Row],[Lever Name]]="",0,ROUND(tblTarget[Baseline Emissions (tCO2e)]-SUM(INDEX(tblDecarbLevers_S2[Calculated Impact (tCO2e)],1):tblDecarbLevers_S2[[#This Row],[Calculated Impact (tCO2e)]]),6))</calculatedColumnFormula>
    </tableColumn>
    <tableColumn id="17" xr3:uid="{D04649F0-B68D-40CB-BBD3-8F60162DA9CB}" name="Notes" dataDxfId="11"/>
  </tableColumns>
  <tableStyleInfo name="TableStyleLight1"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51CADBC-F0A2-46B6-9336-C136B3BCB0E0}" name="tblWaterfall_S2" displayName="tblWaterfall_S2" ref="N29:S43">
  <autoFilter ref="N29:S43" xr:uid="{A51CADBC-F0A2-46B6-9336-C136B3BCB0E0}"/>
  <tableColumns count="6">
    <tableColumn id="16" xr3:uid="{1B59437F-96B9-4604-9A98-5B1DF97007EC}" name="Sequence" dataDxfId="10"/>
    <tableColumn id="17" xr3:uid="{A8D442B1-D1E4-463A-BE61-31B53D1A9655}" name="Waterfall Category" dataDxfId="9"/>
    <tableColumn id="18" xr3:uid="{F8F27C7D-4F44-4362-A63A-B563BDAE5549}" name="Waterfall Type" dataDxfId="8"/>
    <tableColumn id="19" xr3:uid="{3623F9E0-7980-41E5-8AB4-3DCEA3DA57C0}" name="Amount (tCO2e)" dataDxfId="7"/>
    <tableColumn id="1" xr3:uid="{DCBFA7F9-A255-4053-85D9-9BF74AA0FD8D}" name="Contribution to Required Reduction %" dataDxfId="6">
      <calculatedColumnFormula array="1">IF(tblWaterfall_S2[[#This Row],[Waterfall Category]]="","",IF(OR(tblWaterfall_S2[[#This Row],[Waterfall Type]]="Baseline",tblWaterfall_S2[[#This Row],[Waterfall Type]]="Planned Residual",tblWaterfall_S2[[#This Row],[Waterfall Type]]="Target"),0,IF(tblTarget[Required Reduction (tCO2e)]&lt;=0,0,-tblWaterfall_S2[[#This Row],[Amount (tCO2e)]]/tblTarget[Required Reduction (tCO2e)])))</calculatedColumnFormula>
    </tableColumn>
    <tableColumn id="20" xr3:uid="{99EBA534-25C6-44AA-85A6-23D6AA370E7E}" name="Scope"/>
  </tableColumns>
  <tableStyleInfo name="TableStyleLight1"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0547481-3EF4-4C44-A18E-3DEDCB278957}" name="_Measure" displayName="_Measure" ref="A62:A63" totalsRowShown="0" headerRowDxfId="5" dataDxfId="4" tableBorderDxfId="3">
  <autoFilter ref="A62:A63" xr:uid="{30547481-3EF4-4C44-A18E-3DEDCB278957}"/>
  <tableColumns count="1">
    <tableColumn id="1" xr3:uid="{3014CA9E-3091-4EE4-8008-C8E85D369159}" name="_Measures" dataDxfId="2"/>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624" row="0">
    <wetp:webextensionref xmlns:r="http://schemas.openxmlformats.org/officeDocument/2006/relationships" r:id="rId1"/>
  </wetp:taskpane>
  <wetp:taskpane dockstate="right" visibility="0" width="350" row="0">
    <wetp:webextensionref xmlns:r="http://schemas.openxmlformats.org/officeDocument/2006/relationships" r:id="rId2"/>
  </wetp:taskpane>
  <wetp:taskpane dockstate="right" visibility="0" width="350" row="0">
    <wetp:webextensionref xmlns:r="http://schemas.openxmlformats.org/officeDocument/2006/relationships" r:id="rId3"/>
  </wetp:taskpane>
</wetp:taskpanes>
</file>

<file path=xl/webextensions/webextension1.xml><?xml version="1.0" encoding="utf-8"?>
<we:webextension xmlns:we="http://schemas.microsoft.com/office/webextensions/webextension/2010/11" id="{F921E8A9-D317-4E1F-BB25-8423F3A45072}">
  <we:reference id="wa200009404" version="1.0.0.8" store="en-US" storeType="OMEX"/>
  <we:alternateReferences>
    <we:reference id="wa200009404" version="1.0.0.8" store="" storeType="OMEX"/>
  </we:alternateReferences>
  <we:properties>
    <we:property name="claude.fileId" value="&quot;5b0271a0-5ebe-41dc-85d1-a8d4af34d8fe&quot;"/>
  </we:properties>
  <we:bindings/>
  <we:snapshot xmlns:r="http://schemas.openxmlformats.org/officeDocument/2006/relationships"/>
</we:webextension>
</file>

<file path=xl/webextensions/webextension2.xml><?xml version="1.0" encoding="utf-8"?>
<we:webextension xmlns:we="http://schemas.microsoft.com/office/webextensions/webextension/2010/11" id="{A00A97B4-B1B5-4B74-B85B-D12CCFF24644}">
  <we:reference id="wa200010725" version="1.0.0.1" store="en-US" storeType="OMEX"/>
  <we:alternateReferences>
    <we:reference id="WA200010725" version="1.0.0.1" store="" storeType="OMEX"/>
  </we:alternateReferences>
  <we:properties>
    <we:property name="claude.fileId" value="&quot;ef8f221f-1468-404f-8d3e-161bd7325f8c&quot;"/>
  </we:properties>
  <we:bindings/>
  <we:snapshot xmlns:r="http://schemas.openxmlformats.org/officeDocument/2006/relationships"/>
</we:webextension>
</file>

<file path=xl/webextensions/webextension3.xml><?xml version="1.0" encoding="utf-8"?>
<we:webextension xmlns:we="http://schemas.microsoft.com/office/webextensions/webextension/2010/11" id="{E79C52DA-0078-4FA2-8D8C-E13D7594E53B}">
  <we:reference id="wa200010215" version="2.0.0.0" store="en-US" storeType="OMEX"/>
  <we:alternateReferences>
    <we:reference id="wa200010215" version="2.0.0.0" store="wa200010215" storeType="OMEX"/>
  </we:alternateReferences>
  <we:properties>
    <we:property name="bps.codex_control.document_id" value="&quot;7452fbed-4643-49d6-a76d-da46a1f39d90&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table" Target="../tables/table4.xml"/><Relationship Id="rId7" Type="http://schemas.openxmlformats.org/officeDocument/2006/relationships/table" Target="../tables/table8.xml"/><Relationship Id="rId2" Type="http://schemas.openxmlformats.org/officeDocument/2006/relationships/table" Target="../tables/table3.xml"/><Relationship Id="rId1" Type="http://schemas.openxmlformats.org/officeDocument/2006/relationships/vmlDrawing" Target="../drawings/vmlDrawing1.vm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47"/>
  <sheetViews>
    <sheetView showGridLines="0" workbookViewId="0">
      <selection activeCell="G19" sqref="G19"/>
    </sheetView>
  </sheetViews>
  <sheetFormatPr defaultRowHeight="15" x14ac:dyDescent="0.25"/>
  <cols>
    <col min="1" max="1" width="3" customWidth="1"/>
    <col min="2" max="2" width="104" customWidth="1"/>
  </cols>
  <sheetData>
    <row r="2" spans="2:2" ht="26.25" x14ac:dyDescent="0.4">
      <c r="B2" s="1" t="s">
        <v>0</v>
      </c>
    </row>
    <row r="3" spans="2:2" x14ac:dyDescent="0.25">
      <c r="B3" s="52" t="s">
        <v>147</v>
      </c>
    </row>
    <row r="5" spans="2:2" ht="21.95" customHeight="1" x14ac:dyDescent="0.25">
      <c r="B5" s="2" t="s">
        <v>1</v>
      </c>
    </row>
    <row r="6" spans="2:2" ht="39" customHeight="1" x14ac:dyDescent="0.25">
      <c r="B6" s="3" t="s">
        <v>2</v>
      </c>
    </row>
    <row r="7" spans="2:2" ht="21.95" customHeight="1" x14ac:dyDescent="0.25">
      <c r="B7" s="2" t="s">
        <v>3</v>
      </c>
    </row>
    <row r="8" spans="2:2" ht="14.1" customHeight="1" x14ac:dyDescent="0.25">
      <c r="B8" s="3" t="s">
        <v>4</v>
      </c>
    </row>
    <row r="9" spans="2:2" ht="26.1" customHeight="1" x14ac:dyDescent="0.25">
      <c r="B9" s="3" t="s">
        <v>5</v>
      </c>
    </row>
    <row r="10" spans="2:2" ht="14.1" customHeight="1" x14ac:dyDescent="0.25">
      <c r="B10" s="3" t="s">
        <v>6</v>
      </c>
    </row>
    <row r="11" spans="2:2" ht="14.1" customHeight="1" x14ac:dyDescent="0.25">
      <c r="B11" s="3" t="s">
        <v>7</v>
      </c>
    </row>
    <row r="12" spans="2:2" ht="14.1" customHeight="1" x14ac:dyDescent="0.25">
      <c r="B12" s="3" t="s">
        <v>8</v>
      </c>
    </row>
    <row r="13" spans="2:2" ht="39" customHeight="1" x14ac:dyDescent="0.25">
      <c r="B13" s="56" t="s">
        <v>162</v>
      </c>
    </row>
    <row r="14" spans="2:2" ht="21.95" customHeight="1" x14ac:dyDescent="0.25">
      <c r="B14" s="2" t="s">
        <v>9</v>
      </c>
    </row>
    <row r="15" spans="2:2" ht="14.1" customHeight="1" x14ac:dyDescent="0.25">
      <c r="B15" s="3" t="s">
        <v>10</v>
      </c>
    </row>
    <row r="16" spans="2:2" ht="14.1" customHeight="1" x14ac:dyDescent="0.25">
      <c r="B16" s="3" t="s">
        <v>11</v>
      </c>
    </row>
    <row r="17" spans="2:2" ht="51.95" customHeight="1" x14ac:dyDescent="0.25">
      <c r="B17" s="56" t="s">
        <v>156</v>
      </c>
    </row>
    <row r="18" spans="2:2" ht="21.95" customHeight="1" x14ac:dyDescent="0.25">
      <c r="B18" s="2" t="s">
        <v>12</v>
      </c>
    </row>
    <row r="19" spans="2:2" ht="51.95" customHeight="1" x14ac:dyDescent="0.25">
      <c r="B19" s="3" t="s">
        <v>13</v>
      </c>
    </row>
    <row r="20" spans="2:2" ht="21.95" customHeight="1" x14ac:dyDescent="0.25">
      <c r="B20" s="2" t="s">
        <v>14</v>
      </c>
    </row>
    <row r="21" spans="2:2" ht="26.1" customHeight="1" x14ac:dyDescent="0.25">
      <c r="B21" s="3" t="s">
        <v>15</v>
      </c>
    </row>
    <row r="22" spans="2:2" ht="39" customHeight="1" x14ac:dyDescent="0.25">
      <c r="B22" s="3" t="s">
        <v>16</v>
      </c>
    </row>
    <row r="23" spans="2:2" ht="21.95" customHeight="1" x14ac:dyDescent="0.25">
      <c r="B23" s="2" t="s">
        <v>17</v>
      </c>
    </row>
    <row r="24" spans="2:2" ht="51.95" customHeight="1" x14ac:dyDescent="0.25">
      <c r="B24" s="3" t="s">
        <v>116</v>
      </c>
    </row>
    <row r="25" spans="2:2" ht="21.95" customHeight="1" x14ac:dyDescent="0.25">
      <c r="B25" s="2" t="s">
        <v>18</v>
      </c>
    </row>
    <row r="26" spans="2:2" ht="14.1" customHeight="1" x14ac:dyDescent="0.25">
      <c r="B26" s="3" t="s">
        <v>19</v>
      </c>
    </row>
    <row r="27" spans="2:2" ht="26.1" customHeight="1" x14ac:dyDescent="0.25">
      <c r="B27" s="3" t="s">
        <v>20</v>
      </c>
    </row>
    <row r="28" spans="2:2" ht="26.1" customHeight="1" x14ac:dyDescent="0.25">
      <c r="B28" s="3" t="s">
        <v>21</v>
      </c>
    </row>
    <row r="29" spans="2:2" ht="21.95" customHeight="1" x14ac:dyDescent="0.25">
      <c r="B29" s="2" t="s">
        <v>22</v>
      </c>
    </row>
    <row r="30" spans="2:2" ht="39" customHeight="1" x14ac:dyDescent="0.25">
      <c r="B30" s="3" t="s">
        <v>23</v>
      </c>
    </row>
    <row r="31" spans="2:2" ht="26.1" customHeight="1" x14ac:dyDescent="0.25">
      <c r="B31" s="3" t="s">
        <v>24</v>
      </c>
    </row>
    <row r="32" spans="2:2" ht="26.1" customHeight="1" x14ac:dyDescent="0.25">
      <c r="B32" s="3" t="s">
        <v>25</v>
      </c>
    </row>
    <row r="33" spans="2:2" ht="21.95" customHeight="1" x14ac:dyDescent="0.25">
      <c r="B33" s="2" t="s">
        <v>26</v>
      </c>
    </row>
    <row r="34" spans="2:2" ht="39" customHeight="1" x14ac:dyDescent="0.25">
      <c r="B34" s="3" t="s">
        <v>153</v>
      </c>
    </row>
    <row r="36" spans="2:2" ht="21.95" customHeight="1" x14ac:dyDescent="0.25">
      <c r="B36" s="2" t="s">
        <v>27</v>
      </c>
    </row>
    <row r="37" spans="2:2" ht="26.1" customHeight="1" x14ac:dyDescent="0.25">
      <c r="B37" s="3" t="s">
        <v>28</v>
      </c>
    </row>
    <row r="38" spans="2:2" ht="26.1" customHeight="1" x14ac:dyDescent="0.25">
      <c r="B38" s="3" t="s">
        <v>29</v>
      </c>
    </row>
    <row r="39" spans="2:2" ht="39" customHeight="1" x14ac:dyDescent="0.25">
      <c r="B39" s="3" t="s">
        <v>30</v>
      </c>
    </row>
    <row r="40" spans="2:2" ht="39" customHeight="1" x14ac:dyDescent="0.25">
      <c r="B40" s="3" t="s">
        <v>159</v>
      </c>
    </row>
    <row r="41" spans="2:2" ht="21.95" customHeight="1" x14ac:dyDescent="0.25">
      <c r="B41" s="2" t="s">
        <v>31</v>
      </c>
    </row>
    <row r="42" spans="2:2" ht="39" customHeight="1" x14ac:dyDescent="0.25">
      <c r="B42" s="3" t="s">
        <v>32</v>
      </c>
    </row>
    <row r="43" spans="2:2" ht="26.1" customHeight="1" x14ac:dyDescent="0.25">
      <c r="B43" s="3" t="s">
        <v>33</v>
      </c>
    </row>
    <row r="44" spans="2:2" ht="26.1" customHeight="1" x14ac:dyDescent="0.25">
      <c r="B44" s="3" t="s">
        <v>34</v>
      </c>
    </row>
    <row r="46" spans="2:2" ht="15.75" x14ac:dyDescent="0.25">
      <c r="B46" s="57" t="s">
        <v>151</v>
      </c>
    </row>
    <row r="47" spans="2:2" ht="51.75" x14ac:dyDescent="0.25">
      <c r="B47" s="58" t="s">
        <v>152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62"/>
  <sheetViews>
    <sheetView showGridLines="0" zoomScale="115" zoomScaleNormal="115" workbookViewId="0">
      <pane ySplit="8" topLeftCell="A9" activePane="bottomLeft" state="frozen"/>
      <selection pane="bottomLeft" activeCell="S13" sqref="S13"/>
    </sheetView>
  </sheetViews>
  <sheetFormatPr defaultRowHeight="15" x14ac:dyDescent="0.25"/>
  <cols>
    <col min="1" max="1" width="17" customWidth="1"/>
    <col min="2" max="2" width="22" customWidth="1"/>
    <col min="3" max="3" width="15" customWidth="1"/>
    <col min="4" max="4" width="16" customWidth="1"/>
    <col min="5" max="5" width="10" customWidth="1"/>
    <col min="6" max="6" width="19" customWidth="1"/>
    <col min="7" max="7" width="12" customWidth="1"/>
    <col min="8" max="8" width="3" customWidth="1"/>
    <col min="9" max="9" width="20" customWidth="1"/>
    <col min="10" max="10" width="13" customWidth="1"/>
  </cols>
  <sheetData>
    <row r="1" spans="1:10" ht="23.25" x14ac:dyDescent="0.35">
      <c r="A1" s="4" t="s">
        <v>0</v>
      </c>
    </row>
    <row r="2" spans="1:10" x14ac:dyDescent="0.25">
      <c r="A2" s="5" t="s">
        <v>148</v>
      </c>
    </row>
    <row r="4" spans="1:10" x14ac:dyDescent="0.25">
      <c r="A4" s="6" t="s">
        <v>35</v>
      </c>
    </row>
    <row r="5" spans="1:10" x14ac:dyDescent="0.25">
      <c r="A5" s="48" t="s">
        <v>161</v>
      </c>
    </row>
    <row r="6" spans="1:10" x14ac:dyDescent="0.25">
      <c r="A6" s="8" t="s">
        <v>36</v>
      </c>
      <c r="B6" s="9" t="s">
        <v>37</v>
      </c>
    </row>
    <row r="7" spans="1:10" x14ac:dyDescent="0.25">
      <c r="A7" s="7" t="s">
        <v>38</v>
      </c>
    </row>
    <row r="8" spans="1:10" ht="30" customHeight="1" x14ac:dyDescent="0.25">
      <c r="A8" s="10" t="s">
        <v>39</v>
      </c>
      <c r="B8" s="10" t="s">
        <v>40</v>
      </c>
      <c r="C8" s="10" t="s">
        <v>41</v>
      </c>
      <c r="D8" s="10" t="s">
        <v>42</v>
      </c>
      <c r="E8" s="10" t="s">
        <v>43</v>
      </c>
      <c r="F8" s="10" t="s">
        <v>44</v>
      </c>
      <c r="G8" s="10" t="s">
        <v>45</v>
      </c>
      <c r="I8" s="11" t="s">
        <v>46</v>
      </c>
      <c r="J8" s="12"/>
    </row>
    <row r="9" spans="1:10" x14ac:dyDescent="0.25">
      <c r="A9" s="13" t="s">
        <v>47</v>
      </c>
      <c r="B9" s="13" t="s">
        <v>48</v>
      </c>
      <c r="C9" s="14">
        <v>12500</v>
      </c>
      <c r="D9" s="15" t="str">
        <f>IF(OR(tblActivity[[#This Row],[Country]]="",tblActivity[[#This Row],[Source]]=""),"",_xlfn.XLOOKUP(tblActivity[[#This Row],[Country]]&amp;"|"&amp;tblActivity[[#This Row],[Source]],FactorKey,FactorUnit,"Not available for this country"))</f>
        <v>L</v>
      </c>
      <c r="E9" s="15" t="str">
        <f>IF(OR(tblActivity[[#This Row],[Country]]="",tblActivity[[#This Row],[Source]]=""),"",_xlfn.XLOOKUP(tblActivity[[#This Row],[Country]]&amp;"|"&amp;tblActivity[[#This Row],[Source]],FactorKey,FactorScope,""))</f>
        <v>Scope 1</v>
      </c>
      <c r="F9" s="16">
        <f>IF(OR(tblActivity[[#This Row],[Country]]="",tblActivity[[#This Row],[Source]]=""),"",_xlfn.XLOOKUP(tblActivity[[#This Row],[Country]]&amp;"|"&amp;tblActivity[[#This Row],[Source]],FactorKey,FactorEF,""))</f>
        <v>2.7178260000000001</v>
      </c>
      <c r="G9" s="17">
        <f>IF(OR(OR(tblActivity[[#This Row],[Country]]="",tblActivity[[#This Row],[Source]]=""),tblActivity[[#This Row],[Activity Data]]=""),"",IF(NOT(ISNUMBER(tblActivity[[#This Row],[Activity Data]])),"Enter a number",IF(NOT(ISNUMBER(tblActivity[[#This Row],[Emission Factor (kg CO2e per unit)]])),"",tblActivity[[#This Row],[Activity Data]]*tblActivity[[#This Row],[Emission Factor (kg CO2e per unit)]]/1000)))</f>
        <v>33.972825000000007</v>
      </c>
      <c r="I9" s="18" t="s">
        <v>49</v>
      </c>
      <c r="J9" s="19">
        <f>SUMIFS(tblActivity[tCO2e],tblActivity[Scope],"Scope 1")</f>
        <v>102.517825</v>
      </c>
    </row>
    <row r="10" spans="1:10" x14ac:dyDescent="0.25">
      <c r="A10" s="13" t="s">
        <v>47</v>
      </c>
      <c r="B10" s="13" t="s">
        <v>66</v>
      </c>
      <c r="C10" s="14">
        <v>1000</v>
      </c>
      <c r="D10" s="15" t="str">
        <f t="shared" ref="D10:D40" si="0">IF(OR($A10="",$B10=""),"",_xlfn.XLOOKUP($A10&amp;"|"&amp;$B10,FactorKey,FactorUnit,"Not available for this country"))</f>
        <v>GJ</v>
      </c>
      <c r="E10" s="15" t="str">
        <f t="shared" ref="E10:E40" si="1">IF(OR($A10="",$B10=""),"",_xlfn.XLOOKUP($A10&amp;"|"&amp;$B10,FactorKey,FactorScope,""))</f>
        <v>Scope 1</v>
      </c>
      <c r="F10" s="16">
        <f t="shared" ref="F10:F40" si="2">IF(OR($A10="",$B10=""),"",_xlfn.XLOOKUP($A10&amp;"|"&amp;$B10,FactorKey,FactorEF,""))</f>
        <v>51.53</v>
      </c>
      <c r="G10" s="17">
        <f t="shared" ref="G10:G40" si="3">IF(OR(OR($A10="",$B10=""),$C10=""),"",IF(NOT(ISNUMBER($C10)),"Enter a number",IF(NOT(ISNUMBER($F10)),"",$C10*$F10/1000)))</f>
        <v>51.53</v>
      </c>
      <c r="I10" s="18" t="s">
        <v>51</v>
      </c>
      <c r="J10" s="19">
        <f>SUMIFS(tblActivity[tCO2e],tblActivity[Scope],"Scope 2")</f>
        <v>276.25684000000001</v>
      </c>
    </row>
    <row r="11" spans="1:10" x14ac:dyDescent="0.25">
      <c r="A11" s="13" t="s">
        <v>47</v>
      </c>
      <c r="B11" s="13" t="s">
        <v>50</v>
      </c>
      <c r="C11" s="14">
        <v>410000</v>
      </c>
      <c r="D11" s="15" t="str">
        <f t="shared" si="0"/>
        <v>kWh</v>
      </c>
      <c r="E11" s="15" t="str">
        <f t="shared" si="1"/>
        <v>Scope 2</v>
      </c>
      <c r="F11" s="16">
        <f t="shared" si="2"/>
        <v>0.59</v>
      </c>
      <c r="G11" s="17">
        <f t="shared" si="3"/>
        <v>241.9</v>
      </c>
      <c r="I11" s="20" t="s">
        <v>54</v>
      </c>
      <c r="J11" s="21">
        <f>SUM(tblActivity[tCO2e])</f>
        <v>378.77466499999997</v>
      </c>
    </row>
    <row r="12" spans="1:10" x14ac:dyDescent="0.25">
      <c r="A12" s="13" t="s">
        <v>52</v>
      </c>
      <c r="B12" s="13" t="s">
        <v>53</v>
      </c>
      <c r="C12" s="14">
        <v>8200</v>
      </c>
      <c r="D12" s="15" t="str">
        <f t="shared" si="0"/>
        <v>L</v>
      </c>
      <c r="E12" s="15" t="str">
        <f t="shared" si="1"/>
        <v>Scope 1</v>
      </c>
      <c r="F12" s="16">
        <f t="shared" si="2"/>
        <v>2.0750000000000002</v>
      </c>
      <c r="G12" s="17">
        <f t="shared" si="3"/>
        <v>17.015000000000001</v>
      </c>
    </row>
    <row r="13" spans="1:10" x14ac:dyDescent="0.25">
      <c r="A13" s="13" t="s">
        <v>52</v>
      </c>
      <c r="B13" s="13" t="s">
        <v>55</v>
      </c>
      <c r="C13" s="14">
        <v>96000</v>
      </c>
      <c r="D13" s="15" t="str">
        <f t="shared" si="0"/>
        <v>kWh</v>
      </c>
      <c r="E13" s="15" t="str">
        <f t="shared" si="1"/>
        <v>Scope 2</v>
      </c>
      <c r="F13" s="16">
        <f t="shared" si="2"/>
        <v>0.17529</v>
      </c>
      <c r="G13" s="17">
        <f t="shared" si="3"/>
        <v>16.827840000000002</v>
      </c>
      <c r="I13" s="18" t="s">
        <v>47</v>
      </c>
      <c r="J13" s="19">
        <f>SUMIFS(tblActivity[tCO2e],tblActivity[Country],"Australia")</f>
        <v>327.40282500000001</v>
      </c>
    </row>
    <row r="14" spans="1:10" x14ac:dyDescent="0.25">
      <c r="A14" s="13" t="s">
        <v>52</v>
      </c>
      <c r="B14" s="13" t="s">
        <v>79</v>
      </c>
      <c r="C14" s="14">
        <v>100000</v>
      </c>
      <c r="D14" s="15" t="str">
        <f t="shared" si="0"/>
        <v>kWh</v>
      </c>
      <c r="E14" s="15" t="str">
        <f t="shared" si="1"/>
        <v>Scope 2</v>
      </c>
      <c r="F14" s="16">
        <f t="shared" si="2"/>
        <v>0.17529</v>
      </c>
      <c r="G14" s="17">
        <f t="shared" si="3"/>
        <v>17.529</v>
      </c>
      <c r="I14" s="18" t="s">
        <v>52</v>
      </c>
      <c r="J14" s="19">
        <f>SUMIFS(tblActivity[tCO2e],tblActivity[Country],"United Kingdom")</f>
        <v>51.371840000000006</v>
      </c>
    </row>
    <row r="15" spans="1:10" x14ac:dyDescent="0.25">
      <c r="A15" s="13"/>
      <c r="B15" s="13"/>
      <c r="C15" s="14"/>
      <c r="D15" s="15" t="str">
        <f t="shared" si="0"/>
        <v/>
      </c>
      <c r="E15" s="15" t="str">
        <f t="shared" si="1"/>
        <v/>
      </c>
      <c r="F15" s="16" t="str">
        <f t="shared" si="2"/>
        <v/>
      </c>
      <c r="G15" s="17" t="str">
        <f t="shared" si="3"/>
        <v/>
      </c>
    </row>
    <row r="16" spans="1:10" x14ac:dyDescent="0.25">
      <c r="A16" s="13"/>
      <c r="B16" s="13"/>
      <c r="C16" s="14"/>
      <c r="D16" s="15" t="str">
        <f t="shared" si="0"/>
        <v/>
      </c>
      <c r="E16" s="15" t="str">
        <f t="shared" si="1"/>
        <v/>
      </c>
      <c r="F16" s="16" t="str">
        <f t="shared" si="2"/>
        <v/>
      </c>
      <c r="G16" s="17" t="str">
        <f t="shared" si="3"/>
        <v/>
      </c>
      <c r="I16" s="22" t="s">
        <v>56</v>
      </c>
    </row>
    <row r="17" spans="1:9" x14ac:dyDescent="0.25">
      <c r="A17" s="13"/>
      <c r="B17" s="13"/>
      <c r="C17" s="14"/>
      <c r="D17" s="15" t="str">
        <f t="shared" si="0"/>
        <v/>
      </c>
      <c r="E17" s="15" t="str">
        <f t="shared" si="1"/>
        <v/>
      </c>
      <c r="F17" s="16" t="str">
        <f t="shared" si="2"/>
        <v/>
      </c>
      <c r="G17" s="17" t="str">
        <f t="shared" si="3"/>
        <v/>
      </c>
    </row>
    <row r="18" spans="1:9" ht="15.75" x14ac:dyDescent="0.25">
      <c r="A18" s="13"/>
      <c r="B18" s="13"/>
      <c r="C18" s="14"/>
      <c r="D18" s="15" t="str">
        <f t="shared" si="0"/>
        <v/>
      </c>
      <c r="E18" s="15" t="str">
        <f t="shared" si="1"/>
        <v/>
      </c>
      <c r="F18" s="16" t="str">
        <f t="shared" si="2"/>
        <v/>
      </c>
      <c r="G18" s="17" t="str">
        <f t="shared" si="3"/>
        <v/>
      </c>
      <c r="I18" s="30" t="s">
        <v>117</v>
      </c>
    </row>
    <row r="19" spans="1:9" x14ac:dyDescent="0.25">
      <c r="A19" s="13"/>
      <c r="B19" s="13"/>
      <c r="C19" s="14"/>
      <c r="D19" s="15" t="str">
        <f t="shared" si="0"/>
        <v/>
      </c>
      <c r="E19" s="15" t="str">
        <f t="shared" si="1"/>
        <v/>
      </c>
      <c r="F19" s="16" t="str">
        <f t="shared" si="2"/>
        <v/>
      </c>
      <c r="G19" s="17" t="str">
        <f t="shared" si="3"/>
        <v/>
      </c>
    </row>
    <row r="20" spans="1:9" x14ac:dyDescent="0.25">
      <c r="A20" s="13"/>
      <c r="B20" s="13"/>
      <c r="C20" s="14"/>
      <c r="D20" s="15" t="str">
        <f t="shared" si="0"/>
        <v/>
      </c>
      <c r="E20" s="15" t="str">
        <f t="shared" si="1"/>
        <v/>
      </c>
      <c r="F20" s="16" t="str">
        <f t="shared" si="2"/>
        <v/>
      </c>
      <c r="G20" s="17" t="str">
        <f t="shared" si="3"/>
        <v/>
      </c>
    </row>
    <row r="21" spans="1:9" x14ac:dyDescent="0.25">
      <c r="A21" s="13"/>
      <c r="B21" s="13"/>
      <c r="C21" s="14"/>
      <c r="D21" s="15" t="str">
        <f t="shared" si="0"/>
        <v/>
      </c>
      <c r="E21" s="15" t="str">
        <f t="shared" si="1"/>
        <v/>
      </c>
      <c r="F21" s="16" t="str">
        <f t="shared" si="2"/>
        <v/>
      </c>
      <c r="G21" s="17" t="str">
        <f t="shared" si="3"/>
        <v/>
      </c>
    </row>
    <row r="22" spans="1:9" x14ac:dyDescent="0.25">
      <c r="A22" s="13"/>
      <c r="B22" s="13"/>
      <c r="C22" s="14"/>
      <c r="D22" s="15" t="str">
        <f t="shared" si="0"/>
        <v/>
      </c>
      <c r="E22" s="15" t="str">
        <f t="shared" si="1"/>
        <v/>
      </c>
      <c r="F22" s="16" t="str">
        <f t="shared" si="2"/>
        <v/>
      </c>
      <c r="G22" s="17" t="str">
        <f t="shared" si="3"/>
        <v/>
      </c>
    </row>
    <row r="23" spans="1:9" x14ac:dyDescent="0.25">
      <c r="A23" s="13"/>
      <c r="B23" s="13"/>
      <c r="C23" s="14"/>
      <c r="D23" s="15" t="str">
        <f t="shared" si="0"/>
        <v/>
      </c>
      <c r="E23" s="15" t="str">
        <f t="shared" si="1"/>
        <v/>
      </c>
      <c r="F23" s="16" t="str">
        <f t="shared" si="2"/>
        <v/>
      </c>
      <c r="G23" s="17" t="str">
        <f t="shared" si="3"/>
        <v/>
      </c>
    </row>
    <row r="24" spans="1:9" x14ac:dyDescent="0.25">
      <c r="A24" s="13"/>
      <c r="B24" s="13"/>
      <c r="C24" s="14"/>
      <c r="D24" s="15" t="str">
        <f t="shared" si="0"/>
        <v/>
      </c>
      <c r="E24" s="15" t="str">
        <f t="shared" si="1"/>
        <v/>
      </c>
      <c r="F24" s="16" t="str">
        <f t="shared" si="2"/>
        <v/>
      </c>
      <c r="G24" s="17" t="str">
        <f t="shared" si="3"/>
        <v/>
      </c>
    </row>
    <row r="25" spans="1:9" x14ac:dyDescent="0.25">
      <c r="A25" s="13"/>
      <c r="B25" s="13"/>
      <c r="C25" s="14"/>
      <c r="D25" s="15" t="str">
        <f t="shared" si="0"/>
        <v/>
      </c>
      <c r="E25" s="15" t="str">
        <f t="shared" si="1"/>
        <v/>
      </c>
      <c r="F25" s="16" t="str">
        <f t="shared" si="2"/>
        <v/>
      </c>
      <c r="G25" s="17" t="str">
        <f t="shared" si="3"/>
        <v/>
      </c>
    </row>
    <row r="26" spans="1:9" x14ac:dyDescent="0.25">
      <c r="A26" s="13"/>
      <c r="B26" s="13"/>
      <c r="C26" s="14"/>
      <c r="D26" s="15" t="str">
        <f t="shared" si="0"/>
        <v/>
      </c>
      <c r="E26" s="15" t="str">
        <f t="shared" si="1"/>
        <v/>
      </c>
      <c r="F26" s="16" t="str">
        <f t="shared" si="2"/>
        <v/>
      </c>
      <c r="G26" s="17" t="str">
        <f t="shared" si="3"/>
        <v/>
      </c>
    </row>
    <row r="27" spans="1:9" x14ac:dyDescent="0.25">
      <c r="A27" s="13"/>
      <c r="B27" s="13"/>
      <c r="C27" s="14"/>
      <c r="D27" s="15" t="str">
        <f t="shared" si="0"/>
        <v/>
      </c>
      <c r="E27" s="15" t="str">
        <f t="shared" si="1"/>
        <v/>
      </c>
      <c r="F27" s="16" t="str">
        <f t="shared" si="2"/>
        <v/>
      </c>
      <c r="G27" s="17" t="str">
        <f t="shared" si="3"/>
        <v/>
      </c>
    </row>
    <row r="28" spans="1:9" x14ac:dyDescent="0.25">
      <c r="A28" s="13"/>
      <c r="B28" s="13"/>
      <c r="C28" s="14"/>
      <c r="D28" s="15" t="str">
        <f t="shared" si="0"/>
        <v/>
      </c>
      <c r="E28" s="15" t="str">
        <f t="shared" si="1"/>
        <v/>
      </c>
      <c r="F28" s="16" t="str">
        <f t="shared" si="2"/>
        <v/>
      </c>
      <c r="G28" s="17" t="str">
        <f t="shared" si="3"/>
        <v/>
      </c>
    </row>
    <row r="29" spans="1:9" x14ac:dyDescent="0.25">
      <c r="A29" s="13"/>
      <c r="B29" s="13"/>
      <c r="C29" s="14"/>
      <c r="D29" s="15" t="str">
        <f t="shared" si="0"/>
        <v/>
      </c>
      <c r="E29" s="15" t="str">
        <f t="shared" si="1"/>
        <v/>
      </c>
      <c r="F29" s="16" t="str">
        <f t="shared" si="2"/>
        <v/>
      </c>
      <c r="G29" s="17" t="str">
        <f t="shared" si="3"/>
        <v/>
      </c>
    </row>
    <row r="30" spans="1:9" x14ac:dyDescent="0.25">
      <c r="A30" s="13"/>
      <c r="B30" s="13"/>
      <c r="C30" s="14"/>
      <c r="D30" s="15" t="str">
        <f t="shared" si="0"/>
        <v/>
      </c>
      <c r="E30" s="15" t="str">
        <f t="shared" si="1"/>
        <v/>
      </c>
      <c r="F30" s="16" t="str">
        <f t="shared" si="2"/>
        <v/>
      </c>
      <c r="G30" s="17" t="str">
        <f t="shared" si="3"/>
        <v/>
      </c>
    </row>
    <row r="31" spans="1:9" x14ac:dyDescent="0.25">
      <c r="A31" s="13"/>
      <c r="B31" s="13"/>
      <c r="C31" s="14"/>
      <c r="D31" s="15" t="str">
        <f t="shared" si="0"/>
        <v/>
      </c>
      <c r="E31" s="15" t="str">
        <f t="shared" si="1"/>
        <v/>
      </c>
      <c r="F31" s="16" t="str">
        <f t="shared" si="2"/>
        <v/>
      </c>
      <c r="G31" s="17" t="str">
        <f t="shared" si="3"/>
        <v/>
      </c>
    </row>
    <row r="32" spans="1:9" x14ac:dyDescent="0.25">
      <c r="A32" s="13"/>
      <c r="B32" s="13"/>
      <c r="C32" s="14"/>
      <c r="D32" s="15" t="str">
        <f t="shared" si="0"/>
        <v/>
      </c>
      <c r="E32" s="15" t="str">
        <f t="shared" si="1"/>
        <v/>
      </c>
      <c r="F32" s="16" t="str">
        <f t="shared" si="2"/>
        <v/>
      </c>
      <c r="G32" s="17" t="str">
        <f t="shared" si="3"/>
        <v/>
      </c>
    </row>
    <row r="33" spans="1:7" x14ac:dyDescent="0.25">
      <c r="A33" s="13"/>
      <c r="B33" s="13"/>
      <c r="C33" s="14"/>
      <c r="D33" s="15" t="str">
        <f t="shared" si="0"/>
        <v/>
      </c>
      <c r="E33" s="15" t="str">
        <f t="shared" si="1"/>
        <v/>
      </c>
      <c r="F33" s="16" t="str">
        <f t="shared" si="2"/>
        <v/>
      </c>
      <c r="G33" s="17" t="str">
        <f t="shared" si="3"/>
        <v/>
      </c>
    </row>
    <row r="34" spans="1:7" x14ac:dyDescent="0.25">
      <c r="A34" s="13"/>
      <c r="B34" s="13"/>
      <c r="C34" s="14"/>
      <c r="D34" s="15" t="str">
        <f t="shared" si="0"/>
        <v/>
      </c>
      <c r="E34" s="15" t="str">
        <f t="shared" si="1"/>
        <v/>
      </c>
      <c r="F34" s="16" t="str">
        <f t="shared" si="2"/>
        <v/>
      </c>
      <c r="G34" s="17" t="str">
        <f t="shared" si="3"/>
        <v/>
      </c>
    </row>
    <row r="35" spans="1:7" x14ac:dyDescent="0.25">
      <c r="A35" s="13"/>
      <c r="B35" s="13"/>
      <c r="C35" s="14"/>
      <c r="D35" s="15" t="str">
        <f t="shared" si="0"/>
        <v/>
      </c>
      <c r="E35" s="15" t="str">
        <f t="shared" si="1"/>
        <v/>
      </c>
      <c r="F35" s="16" t="str">
        <f t="shared" si="2"/>
        <v/>
      </c>
      <c r="G35" s="17" t="str">
        <f t="shared" si="3"/>
        <v/>
      </c>
    </row>
    <row r="36" spans="1:7" x14ac:dyDescent="0.25">
      <c r="A36" s="13"/>
      <c r="B36" s="13"/>
      <c r="C36" s="14"/>
      <c r="D36" s="15" t="str">
        <f t="shared" si="0"/>
        <v/>
      </c>
      <c r="E36" s="15" t="str">
        <f t="shared" si="1"/>
        <v/>
      </c>
      <c r="F36" s="16" t="str">
        <f t="shared" si="2"/>
        <v/>
      </c>
      <c r="G36" s="17" t="str">
        <f t="shared" si="3"/>
        <v/>
      </c>
    </row>
    <row r="37" spans="1:7" x14ac:dyDescent="0.25">
      <c r="A37" s="13"/>
      <c r="B37" s="13"/>
      <c r="C37" s="14"/>
      <c r="D37" s="15" t="str">
        <f t="shared" si="0"/>
        <v/>
      </c>
      <c r="E37" s="15" t="str">
        <f t="shared" si="1"/>
        <v/>
      </c>
      <c r="F37" s="16" t="str">
        <f t="shared" si="2"/>
        <v/>
      </c>
      <c r="G37" s="17" t="str">
        <f t="shared" si="3"/>
        <v/>
      </c>
    </row>
    <row r="38" spans="1:7" x14ac:dyDescent="0.25">
      <c r="A38" s="13"/>
      <c r="B38" s="13"/>
      <c r="C38" s="14"/>
      <c r="D38" s="15" t="str">
        <f t="shared" si="0"/>
        <v/>
      </c>
      <c r="E38" s="15" t="str">
        <f t="shared" si="1"/>
        <v/>
      </c>
      <c r="F38" s="16" t="str">
        <f t="shared" si="2"/>
        <v/>
      </c>
      <c r="G38" s="17" t="str">
        <f t="shared" si="3"/>
        <v/>
      </c>
    </row>
    <row r="39" spans="1:7" x14ac:dyDescent="0.25">
      <c r="A39" s="13"/>
      <c r="B39" s="13"/>
      <c r="C39" s="14"/>
      <c r="D39" s="15" t="str">
        <f t="shared" si="0"/>
        <v/>
      </c>
      <c r="E39" s="15" t="str">
        <f t="shared" si="1"/>
        <v/>
      </c>
      <c r="F39" s="16" t="str">
        <f t="shared" si="2"/>
        <v/>
      </c>
      <c r="G39" s="17" t="str">
        <f t="shared" si="3"/>
        <v/>
      </c>
    </row>
    <row r="40" spans="1:7" x14ac:dyDescent="0.25">
      <c r="A40" s="13"/>
      <c r="B40" s="13"/>
      <c r="C40" s="14"/>
      <c r="D40" s="15" t="str">
        <f t="shared" si="0"/>
        <v/>
      </c>
      <c r="E40" s="15" t="str">
        <f t="shared" si="1"/>
        <v/>
      </c>
      <c r="F40" s="16" t="str">
        <f t="shared" si="2"/>
        <v/>
      </c>
      <c r="G40" s="17" t="str">
        <f t="shared" si="3"/>
        <v/>
      </c>
    </row>
    <row r="41" spans="1:7" x14ac:dyDescent="0.25">
      <c r="A41" s="13"/>
      <c r="B41" s="13"/>
      <c r="C41" s="14"/>
      <c r="D41" s="15" t="str">
        <f t="shared" ref="D41:D62" si="4">IF(OR($A41="",$B41=""),"",_xlfn.XLOOKUP($A41&amp;"|"&amp;$B41,FactorKey,FactorUnit,"Not available for this country"))</f>
        <v/>
      </c>
      <c r="E41" s="15" t="str">
        <f t="shared" ref="E41:E62" si="5">IF(OR($A41="",$B41=""),"",_xlfn.XLOOKUP($A41&amp;"|"&amp;$B41,FactorKey,FactorScope,""))</f>
        <v/>
      </c>
      <c r="F41" s="16" t="str">
        <f t="shared" ref="F41:F62" si="6">IF(OR($A41="",$B41=""),"",_xlfn.XLOOKUP($A41&amp;"|"&amp;$B41,FactorKey,FactorEF,""))</f>
        <v/>
      </c>
      <c r="G41" s="17" t="str">
        <f t="shared" ref="G41:G62" si="7">IF(OR(OR($A41="",$B41=""),$C41=""),"",IF(NOT(ISNUMBER($C41)),"Enter a number",IF(NOT(ISNUMBER($F41)),"",$C41*$F41/1000)))</f>
        <v/>
      </c>
    </row>
    <row r="42" spans="1:7" x14ac:dyDescent="0.25">
      <c r="A42" s="13"/>
      <c r="B42" s="13"/>
      <c r="C42" s="14"/>
      <c r="D42" s="15" t="str">
        <f t="shared" si="4"/>
        <v/>
      </c>
      <c r="E42" s="15" t="str">
        <f t="shared" si="5"/>
        <v/>
      </c>
      <c r="F42" s="16" t="str">
        <f t="shared" si="6"/>
        <v/>
      </c>
      <c r="G42" s="17" t="str">
        <f t="shared" si="7"/>
        <v/>
      </c>
    </row>
    <row r="43" spans="1:7" x14ac:dyDescent="0.25">
      <c r="A43" s="13"/>
      <c r="B43" s="13"/>
      <c r="C43" s="14"/>
      <c r="D43" s="15" t="str">
        <f t="shared" si="4"/>
        <v/>
      </c>
      <c r="E43" s="15" t="str">
        <f t="shared" si="5"/>
        <v/>
      </c>
      <c r="F43" s="16" t="str">
        <f t="shared" si="6"/>
        <v/>
      </c>
      <c r="G43" s="17" t="str">
        <f t="shared" si="7"/>
        <v/>
      </c>
    </row>
    <row r="44" spans="1:7" x14ac:dyDescent="0.25">
      <c r="A44" s="13"/>
      <c r="B44" s="13"/>
      <c r="C44" s="14"/>
      <c r="D44" s="15" t="str">
        <f t="shared" si="4"/>
        <v/>
      </c>
      <c r="E44" s="15" t="str">
        <f t="shared" si="5"/>
        <v/>
      </c>
      <c r="F44" s="16" t="str">
        <f t="shared" si="6"/>
        <v/>
      </c>
      <c r="G44" s="17" t="str">
        <f t="shared" si="7"/>
        <v/>
      </c>
    </row>
    <row r="45" spans="1:7" x14ac:dyDescent="0.25">
      <c r="A45" s="13"/>
      <c r="B45" s="13"/>
      <c r="C45" s="14"/>
      <c r="D45" s="15" t="str">
        <f t="shared" si="4"/>
        <v/>
      </c>
      <c r="E45" s="15" t="str">
        <f t="shared" si="5"/>
        <v/>
      </c>
      <c r="F45" s="16" t="str">
        <f t="shared" si="6"/>
        <v/>
      </c>
      <c r="G45" s="17" t="str">
        <f t="shared" si="7"/>
        <v/>
      </c>
    </row>
    <row r="46" spans="1:7" x14ac:dyDescent="0.25">
      <c r="A46" s="13"/>
      <c r="B46" s="13"/>
      <c r="C46" s="14"/>
      <c r="D46" s="15" t="str">
        <f t="shared" si="4"/>
        <v/>
      </c>
      <c r="E46" s="15" t="str">
        <f t="shared" si="5"/>
        <v/>
      </c>
      <c r="F46" s="16" t="str">
        <f t="shared" si="6"/>
        <v/>
      </c>
      <c r="G46" s="17" t="str">
        <f t="shared" si="7"/>
        <v/>
      </c>
    </row>
    <row r="47" spans="1:7" x14ac:dyDescent="0.25">
      <c r="A47" s="13"/>
      <c r="B47" s="13"/>
      <c r="C47" s="14"/>
      <c r="D47" s="15" t="str">
        <f t="shared" si="4"/>
        <v/>
      </c>
      <c r="E47" s="15" t="str">
        <f t="shared" si="5"/>
        <v/>
      </c>
      <c r="F47" s="16" t="str">
        <f t="shared" si="6"/>
        <v/>
      </c>
      <c r="G47" s="17" t="str">
        <f t="shared" si="7"/>
        <v/>
      </c>
    </row>
    <row r="48" spans="1:7" x14ac:dyDescent="0.25">
      <c r="A48" s="13"/>
      <c r="B48" s="13"/>
      <c r="C48" s="14"/>
      <c r="D48" s="15" t="str">
        <f t="shared" si="4"/>
        <v/>
      </c>
      <c r="E48" s="15" t="str">
        <f t="shared" si="5"/>
        <v/>
      </c>
      <c r="F48" s="16" t="str">
        <f t="shared" si="6"/>
        <v/>
      </c>
      <c r="G48" s="17" t="str">
        <f t="shared" si="7"/>
        <v/>
      </c>
    </row>
    <row r="49" spans="1:7" x14ac:dyDescent="0.25">
      <c r="A49" s="13"/>
      <c r="B49" s="13"/>
      <c r="C49" s="14"/>
      <c r="D49" s="15" t="str">
        <f t="shared" si="4"/>
        <v/>
      </c>
      <c r="E49" s="15" t="str">
        <f t="shared" si="5"/>
        <v/>
      </c>
      <c r="F49" s="16" t="str">
        <f t="shared" si="6"/>
        <v/>
      </c>
      <c r="G49" s="17" t="str">
        <f t="shared" si="7"/>
        <v/>
      </c>
    </row>
    <row r="50" spans="1:7" x14ac:dyDescent="0.25">
      <c r="A50" s="13"/>
      <c r="B50" s="13"/>
      <c r="C50" s="14"/>
      <c r="D50" s="15" t="str">
        <f t="shared" si="4"/>
        <v/>
      </c>
      <c r="E50" s="15" t="str">
        <f t="shared" si="5"/>
        <v/>
      </c>
      <c r="F50" s="16" t="str">
        <f t="shared" si="6"/>
        <v/>
      </c>
      <c r="G50" s="17" t="str">
        <f t="shared" si="7"/>
        <v/>
      </c>
    </row>
    <row r="51" spans="1:7" x14ac:dyDescent="0.25">
      <c r="A51" s="13"/>
      <c r="B51" s="13"/>
      <c r="C51" s="14"/>
      <c r="D51" s="15" t="str">
        <f t="shared" si="4"/>
        <v/>
      </c>
      <c r="E51" s="15" t="str">
        <f t="shared" si="5"/>
        <v/>
      </c>
      <c r="F51" s="16" t="str">
        <f t="shared" si="6"/>
        <v/>
      </c>
      <c r="G51" s="17" t="str">
        <f t="shared" si="7"/>
        <v/>
      </c>
    </row>
    <row r="52" spans="1:7" x14ac:dyDescent="0.25">
      <c r="A52" s="13"/>
      <c r="B52" s="13"/>
      <c r="C52" s="14"/>
      <c r="D52" s="15" t="str">
        <f t="shared" si="4"/>
        <v/>
      </c>
      <c r="E52" s="15" t="str">
        <f t="shared" si="5"/>
        <v/>
      </c>
      <c r="F52" s="16" t="str">
        <f t="shared" si="6"/>
        <v/>
      </c>
      <c r="G52" s="17" t="str">
        <f t="shared" si="7"/>
        <v/>
      </c>
    </row>
    <row r="53" spans="1:7" x14ac:dyDescent="0.25">
      <c r="A53" s="13"/>
      <c r="B53" s="13"/>
      <c r="C53" s="14"/>
      <c r="D53" s="15" t="str">
        <f t="shared" si="4"/>
        <v/>
      </c>
      <c r="E53" s="15" t="str">
        <f t="shared" si="5"/>
        <v/>
      </c>
      <c r="F53" s="16" t="str">
        <f t="shared" si="6"/>
        <v/>
      </c>
      <c r="G53" s="17" t="str">
        <f t="shared" si="7"/>
        <v/>
      </c>
    </row>
    <row r="54" spans="1:7" x14ac:dyDescent="0.25">
      <c r="A54" s="13"/>
      <c r="B54" s="13"/>
      <c r="C54" s="14"/>
      <c r="D54" s="15" t="str">
        <f t="shared" si="4"/>
        <v/>
      </c>
      <c r="E54" s="15" t="str">
        <f t="shared" si="5"/>
        <v/>
      </c>
      <c r="F54" s="16" t="str">
        <f t="shared" si="6"/>
        <v/>
      </c>
      <c r="G54" s="17" t="str">
        <f t="shared" si="7"/>
        <v/>
      </c>
    </row>
    <row r="55" spans="1:7" x14ac:dyDescent="0.25">
      <c r="A55" s="13"/>
      <c r="B55" s="13"/>
      <c r="C55" s="14"/>
      <c r="D55" s="15" t="str">
        <f t="shared" si="4"/>
        <v/>
      </c>
      <c r="E55" s="15" t="str">
        <f t="shared" si="5"/>
        <v/>
      </c>
      <c r="F55" s="16" t="str">
        <f t="shared" si="6"/>
        <v/>
      </c>
      <c r="G55" s="17" t="str">
        <f t="shared" si="7"/>
        <v/>
      </c>
    </row>
    <row r="56" spans="1:7" x14ac:dyDescent="0.25">
      <c r="A56" s="13"/>
      <c r="B56" s="13"/>
      <c r="C56" s="14"/>
      <c r="D56" s="15" t="str">
        <f t="shared" si="4"/>
        <v/>
      </c>
      <c r="E56" s="15" t="str">
        <f t="shared" si="5"/>
        <v/>
      </c>
      <c r="F56" s="16" t="str">
        <f t="shared" si="6"/>
        <v/>
      </c>
      <c r="G56" s="17" t="str">
        <f t="shared" si="7"/>
        <v/>
      </c>
    </row>
    <row r="57" spans="1:7" x14ac:dyDescent="0.25">
      <c r="A57" s="13"/>
      <c r="B57" s="13"/>
      <c r="C57" s="14"/>
      <c r="D57" s="15" t="str">
        <f t="shared" si="4"/>
        <v/>
      </c>
      <c r="E57" s="15" t="str">
        <f t="shared" si="5"/>
        <v/>
      </c>
      <c r="F57" s="16" t="str">
        <f t="shared" si="6"/>
        <v/>
      </c>
      <c r="G57" s="17" t="str">
        <f t="shared" si="7"/>
        <v/>
      </c>
    </row>
    <row r="58" spans="1:7" x14ac:dyDescent="0.25">
      <c r="A58" s="13"/>
      <c r="B58" s="13"/>
      <c r="C58" s="14"/>
      <c r="D58" s="15" t="str">
        <f t="shared" si="4"/>
        <v/>
      </c>
      <c r="E58" s="15" t="str">
        <f t="shared" si="5"/>
        <v/>
      </c>
      <c r="F58" s="16" t="str">
        <f t="shared" si="6"/>
        <v/>
      </c>
      <c r="G58" s="17" t="str">
        <f t="shared" si="7"/>
        <v/>
      </c>
    </row>
    <row r="59" spans="1:7" x14ac:dyDescent="0.25">
      <c r="A59" s="13"/>
      <c r="B59" s="13"/>
      <c r="C59" s="14"/>
      <c r="D59" s="15" t="str">
        <f t="shared" si="4"/>
        <v/>
      </c>
      <c r="E59" s="15" t="str">
        <f t="shared" si="5"/>
        <v/>
      </c>
      <c r="F59" s="16" t="str">
        <f t="shared" si="6"/>
        <v/>
      </c>
      <c r="G59" s="17" t="str">
        <f t="shared" si="7"/>
        <v/>
      </c>
    </row>
    <row r="60" spans="1:7" x14ac:dyDescent="0.25">
      <c r="A60" s="13"/>
      <c r="B60" s="13"/>
      <c r="C60" s="14"/>
      <c r="D60" s="15" t="str">
        <f t="shared" si="4"/>
        <v/>
      </c>
      <c r="E60" s="15" t="str">
        <f t="shared" si="5"/>
        <v/>
      </c>
      <c r="F60" s="16" t="str">
        <f t="shared" si="6"/>
        <v/>
      </c>
      <c r="G60" s="17" t="str">
        <f t="shared" si="7"/>
        <v/>
      </c>
    </row>
    <row r="61" spans="1:7" x14ac:dyDescent="0.25">
      <c r="A61" s="13"/>
      <c r="B61" s="13"/>
      <c r="C61" s="14"/>
      <c r="D61" s="15" t="str">
        <f t="shared" si="4"/>
        <v/>
      </c>
      <c r="E61" s="15" t="str">
        <f t="shared" si="5"/>
        <v/>
      </c>
      <c r="F61" s="16" t="str">
        <f t="shared" si="6"/>
        <v/>
      </c>
      <c r="G61" s="17" t="str">
        <f t="shared" si="7"/>
        <v/>
      </c>
    </row>
    <row r="62" spans="1:7" x14ac:dyDescent="0.25">
      <c r="A62" s="13"/>
      <c r="B62" s="13"/>
      <c r="C62" s="14"/>
      <c r="D62" s="15" t="str">
        <f t="shared" si="4"/>
        <v/>
      </c>
      <c r="E62" s="15" t="str">
        <f t="shared" si="5"/>
        <v/>
      </c>
      <c r="F62" s="16" t="str">
        <f t="shared" si="6"/>
        <v/>
      </c>
      <c r="G62" s="17" t="str">
        <f t="shared" si="7"/>
        <v/>
      </c>
    </row>
  </sheetData>
  <sheetProtection formatCells="0" formatColumns="0" insertRows="0" sort="0" autoFilter="0"/>
  <dataValidations count="3">
    <dataValidation type="list" allowBlank="1" showErrorMessage="1" errorTitle="Country not recognised" error="Pick Australia or United Kingdom from the list." sqref="A9:A62" xr:uid="{00000000-0002-0000-0100-000000000000}">
      <formula1>"Australia,United Kingdom"</formula1>
    </dataValidation>
    <dataValidation type="list" allowBlank="1" showErrorMessage="1" errorTitle="Source not available" error="Pick the country first. The list then shows only the sources that have a published factor for that country." sqref="B9:B62" xr:uid="{00000000-0002-0000-0100-000001000000}">
      <formula1>INDIRECT(SUBSTITUTE($A9," ","_"))</formula1>
    </dataValidation>
    <dataValidation type="decimal" operator="greaterThanOrEqual" allowBlank="1" showErrorMessage="1" errorTitle="Number needed" error="Enter activity data as a plain number, with no units or text." sqref="C9:C62" xr:uid="{00000000-0002-0000-0100-000002000000}">
      <formula1>0</formula1>
    </dataValidation>
  </dataValidations>
  <pageMargins left="0.75" right="0.75" top="1" bottom="1" header="0.5" footer="0.5"/>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5"/>
  <sheetViews>
    <sheetView showGridLines="0" workbookViewId="0">
      <pane ySplit="5" topLeftCell="A6" activePane="bottomLeft" state="frozen"/>
      <selection pane="bottomLeft" activeCell="O14" sqref="O14"/>
    </sheetView>
  </sheetViews>
  <sheetFormatPr defaultRowHeight="15" x14ac:dyDescent="0.25"/>
  <cols>
    <col min="1" max="1" width="16" customWidth="1"/>
    <col min="2" max="2" width="10" customWidth="1"/>
    <col min="3" max="3" width="22" customWidth="1"/>
    <col min="4" max="4" width="16" customWidth="1"/>
    <col min="5" max="6" width="15" customWidth="1"/>
    <col min="7" max="7" width="88" customWidth="1"/>
    <col min="8" max="8" width="12" customWidth="1"/>
    <col min="9" max="9" width="34" hidden="1" customWidth="1"/>
  </cols>
  <sheetData>
    <row r="1" spans="1:9" ht="20.25" x14ac:dyDescent="0.3">
      <c r="A1" s="23" t="s">
        <v>57</v>
      </c>
    </row>
    <row r="2" spans="1:9" x14ac:dyDescent="0.25">
      <c r="A2" s="6" t="s">
        <v>149</v>
      </c>
    </row>
    <row r="3" spans="1:9" x14ac:dyDescent="0.25">
      <c r="A3" s="7" t="s">
        <v>58</v>
      </c>
    </row>
    <row r="5" spans="1:9" ht="30" customHeight="1" x14ac:dyDescent="0.25">
      <c r="A5" s="10" t="s">
        <v>39</v>
      </c>
      <c r="B5" s="10" t="s">
        <v>43</v>
      </c>
      <c r="C5" s="10" t="s">
        <v>40</v>
      </c>
      <c r="D5" s="10" t="s">
        <v>42</v>
      </c>
      <c r="E5" s="10" t="s">
        <v>59</v>
      </c>
      <c r="F5" s="10" t="s">
        <v>60</v>
      </c>
      <c r="G5" s="10" t="s">
        <v>61</v>
      </c>
      <c r="H5" s="10" t="s">
        <v>62</v>
      </c>
      <c r="I5" s="10" t="s">
        <v>63</v>
      </c>
    </row>
    <row r="6" spans="1:9" ht="42" customHeight="1" x14ac:dyDescent="0.25">
      <c r="A6" s="24" t="s">
        <v>47</v>
      </c>
      <c r="B6" s="25" t="s">
        <v>49</v>
      </c>
      <c r="C6" s="24" t="s">
        <v>53</v>
      </c>
      <c r="D6" s="25" t="s">
        <v>64</v>
      </c>
      <c r="E6" s="26">
        <v>2.3126039999999999</v>
      </c>
      <c r="F6" s="24" t="s">
        <v>65</v>
      </c>
      <c r="G6" s="59" t="s">
        <v>155</v>
      </c>
      <c r="H6" s="25">
        <v>2026</v>
      </c>
      <c r="I6" s="28" t="str">
        <f t="shared" ref="I6:I15" si="0">A6&amp;"|"&amp;C6</f>
        <v>Australia|Petrol</v>
      </c>
    </row>
    <row r="7" spans="1:9" ht="42" customHeight="1" x14ac:dyDescent="0.25">
      <c r="A7" s="24" t="s">
        <v>47</v>
      </c>
      <c r="B7" s="25" t="s">
        <v>49</v>
      </c>
      <c r="C7" s="24" t="s">
        <v>48</v>
      </c>
      <c r="D7" s="25" t="s">
        <v>64</v>
      </c>
      <c r="E7" s="26">
        <v>2.7178260000000001</v>
      </c>
      <c r="F7" s="24" t="s">
        <v>65</v>
      </c>
      <c r="G7" s="59" t="s">
        <v>154</v>
      </c>
      <c r="H7" s="25">
        <v>2026</v>
      </c>
      <c r="I7" s="28" t="str">
        <f t="shared" si="0"/>
        <v>Australia|Diesel</v>
      </c>
    </row>
    <row r="8" spans="1:9" ht="42" customHeight="1" x14ac:dyDescent="0.25">
      <c r="A8" s="24" t="s">
        <v>47</v>
      </c>
      <c r="B8" s="25" t="s">
        <v>49</v>
      </c>
      <c r="C8" s="24" t="s">
        <v>66</v>
      </c>
      <c r="D8" s="25" t="s">
        <v>67</v>
      </c>
      <c r="E8" s="26">
        <v>51.53</v>
      </c>
      <c r="F8" s="24" t="s">
        <v>68</v>
      </c>
      <c r="G8" s="27" t="s">
        <v>69</v>
      </c>
      <c r="H8" s="25">
        <v>2026</v>
      </c>
      <c r="I8" s="28" t="str">
        <f t="shared" si="0"/>
        <v>Australia|Natural Gas</v>
      </c>
    </row>
    <row r="9" spans="1:9" ht="42" customHeight="1" x14ac:dyDescent="0.25">
      <c r="A9" s="24" t="s">
        <v>47</v>
      </c>
      <c r="B9" s="25" t="s">
        <v>51</v>
      </c>
      <c r="C9" s="24" t="s">
        <v>50</v>
      </c>
      <c r="D9" s="25" t="s">
        <v>70</v>
      </c>
      <c r="E9" s="26">
        <v>0.59</v>
      </c>
      <c r="F9" s="24" t="s">
        <v>71</v>
      </c>
      <c r="G9" s="27" t="s">
        <v>72</v>
      </c>
      <c r="H9" s="25">
        <v>2026</v>
      </c>
      <c r="I9" s="28" t="str">
        <f t="shared" si="0"/>
        <v>Australia|Purchased Electricity</v>
      </c>
    </row>
    <row r="10" spans="1:9" ht="42" customHeight="1" x14ac:dyDescent="0.25">
      <c r="A10" s="24" t="s">
        <v>52</v>
      </c>
      <c r="B10" s="25" t="s">
        <v>49</v>
      </c>
      <c r="C10" s="24" t="s">
        <v>53</v>
      </c>
      <c r="D10" s="25" t="s">
        <v>64</v>
      </c>
      <c r="E10" s="26">
        <v>2.0750000000000002</v>
      </c>
      <c r="F10" s="24" t="s">
        <v>65</v>
      </c>
      <c r="G10" s="27" t="s">
        <v>73</v>
      </c>
      <c r="H10" s="25">
        <v>2026</v>
      </c>
      <c r="I10" s="28" t="str">
        <f t="shared" si="0"/>
        <v>United Kingdom|Petrol</v>
      </c>
    </row>
    <row r="11" spans="1:9" ht="42" customHeight="1" x14ac:dyDescent="0.25">
      <c r="A11" s="24" t="s">
        <v>52</v>
      </c>
      <c r="B11" s="25" t="s">
        <v>49</v>
      </c>
      <c r="C11" s="24" t="s">
        <v>48</v>
      </c>
      <c r="D11" s="25" t="s">
        <v>64</v>
      </c>
      <c r="E11" s="26">
        <v>2.5835400000000002</v>
      </c>
      <c r="F11" s="24" t="s">
        <v>65</v>
      </c>
      <c r="G11" s="27" t="s">
        <v>74</v>
      </c>
      <c r="H11" s="25">
        <v>2026</v>
      </c>
      <c r="I11" s="28" t="str">
        <f t="shared" si="0"/>
        <v>United Kingdom|Diesel</v>
      </c>
    </row>
    <row r="12" spans="1:9" ht="42" customHeight="1" x14ac:dyDescent="0.25">
      <c r="A12" s="24" t="s">
        <v>52</v>
      </c>
      <c r="B12" s="25" t="s">
        <v>49</v>
      </c>
      <c r="C12" s="24" t="s">
        <v>66</v>
      </c>
      <c r="D12" s="25" t="s">
        <v>75</v>
      </c>
      <c r="E12" s="26">
        <v>0.18231</v>
      </c>
      <c r="F12" s="24" t="s">
        <v>71</v>
      </c>
      <c r="G12" s="27" t="s">
        <v>76</v>
      </c>
      <c r="H12" s="25">
        <v>2026</v>
      </c>
      <c r="I12" s="28" t="str">
        <f t="shared" si="0"/>
        <v>United Kingdom|Natural Gas</v>
      </c>
    </row>
    <row r="13" spans="1:9" ht="42" customHeight="1" x14ac:dyDescent="0.25">
      <c r="A13" s="24" t="s">
        <v>52</v>
      </c>
      <c r="B13" s="25" t="s">
        <v>51</v>
      </c>
      <c r="C13" s="24" t="s">
        <v>50</v>
      </c>
      <c r="D13" s="25" t="s">
        <v>70</v>
      </c>
      <c r="E13" s="26">
        <v>0.13095999999999999</v>
      </c>
      <c r="F13" s="24" t="s">
        <v>71</v>
      </c>
      <c r="G13" s="27" t="s">
        <v>77</v>
      </c>
      <c r="H13" s="25">
        <v>2026</v>
      </c>
      <c r="I13" s="28" t="str">
        <f t="shared" si="0"/>
        <v>United Kingdom|Purchased Electricity</v>
      </c>
    </row>
    <row r="14" spans="1:9" ht="42" customHeight="1" x14ac:dyDescent="0.25">
      <c r="A14" s="24" t="s">
        <v>52</v>
      </c>
      <c r="B14" s="25" t="s">
        <v>51</v>
      </c>
      <c r="C14" s="24" t="s">
        <v>55</v>
      </c>
      <c r="D14" s="25" t="s">
        <v>70</v>
      </c>
      <c r="E14" s="26">
        <v>0.17529</v>
      </c>
      <c r="F14" s="24" t="s">
        <v>71</v>
      </c>
      <c r="G14" s="27" t="s">
        <v>78</v>
      </c>
      <c r="H14" s="25">
        <v>2026</v>
      </c>
      <c r="I14" s="28" t="str">
        <f t="shared" si="0"/>
        <v>United Kingdom|Purchased Heating</v>
      </c>
    </row>
    <row r="15" spans="1:9" ht="42" customHeight="1" x14ac:dyDescent="0.25">
      <c r="A15" s="24" t="s">
        <v>52</v>
      </c>
      <c r="B15" s="25" t="s">
        <v>51</v>
      </c>
      <c r="C15" s="24" t="s">
        <v>79</v>
      </c>
      <c r="D15" s="25" t="s">
        <v>70</v>
      </c>
      <c r="E15" s="26">
        <v>0.17529</v>
      </c>
      <c r="F15" s="24" t="s">
        <v>71</v>
      </c>
      <c r="G15" s="27" t="s">
        <v>78</v>
      </c>
      <c r="H15" s="25">
        <v>2026</v>
      </c>
      <c r="I15" s="28" t="str">
        <f t="shared" si="0"/>
        <v>United Kingdom|Purchased Steam</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0"/>
  <sheetViews>
    <sheetView showGridLines="0" workbookViewId="0">
      <selection activeCell="L17" sqref="L17"/>
    </sheetView>
  </sheetViews>
  <sheetFormatPr defaultRowHeight="15" x14ac:dyDescent="0.25"/>
  <cols>
    <col min="1" max="2" width="24" customWidth="1"/>
    <col min="4" max="4" width="18" customWidth="1"/>
    <col min="6" max="6" width="21.85546875" customWidth="1"/>
    <col min="8" max="8" width="15.7109375" customWidth="1"/>
  </cols>
  <sheetData>
    <row r="1" spans="1:12" ht="15.75" x14ac:dyDescent="0.25">
      <c r="A1" s="2" t="s">
        <v>47</v>
      </c>
      <c r="B1" s="2" t="s">
        <v>80</v>
      </c>
      <c r="C1" s="29"/>
      <c r="D1" s="2" t="s">
        <v>81</v>
      </c>
      <c r="E1" s="29"/>
      <c r="F1" s="2" t="s">
        <v>82</v>
      </c>
      <c r="H1" s="2" t="s">
        <v>157</v>
      </c>
      <c r="L1" s="2" t="s">
        <v>158</v>
      </c>
    </row>
    <row r="2" spans="1:12" ht="25.5" x14ac:dyDescent="0.25">
      <c r="A2" s="3" t="s">
        <v>53</v>
      </c>
      <c r="B2" s="3" t="s">
        <v>53</v>
      </c>
      <c r="C2" s="29"/>
      <c r="D2" s="3" t="s">
        <v>47</v>
      </c>
      <c r="E2" s="29"/>
      <c r="F2" s="3"/>
      <c r="L2" s="3" t="s">
        <v>109</v>
      </c>
    </row>
    <row r="3" spans="1:12" ht="25.5" x14ac:dyDescent="0.25">
      <c r="A3" s="3" t="s">
        <v>48</v>
      </c>
      <c r="B3" s="3" t="s">
        <v>48</v>
      </c>
      <c r="C3" s="29"/>
      <c r="D3" s="3" t="s">
        <v>52</v>
      </c>
      <c r="E3" s="29"/>
      <c r="F3" s="3"/>
      <c r="H3" s="2" t="s">
        <v>130</v>
      </c>
      <c r="I3" s="2" t="s">
        <v>131</v>
      </c>
      <c r="J3" s="2" t="s">
        <v>132</v>
      </c>
      <c r="L3" s="3" t="s">
        <v>120</v>
      </c>
    </row>
    <row r="4" spans="1:12" ht="51" x14ac:dyDescent="0.25">
      <c r="A4" s="56" t="s">
        <v>66</v>
      </c>
      <c r="B4" s="56" t="s">
        <v>66</v>
      </c>
      <c r="C4" s="29"/>
      <c r="D4" s="56"/>
      <c r="E4" s="29"/>
      <c r="F4" s="29"/>
      <c r="H4" s="3" t="s">
        <v>53</v>
      </c>
      <c r="I4" s="3" t="s">
        <v>50</v>
      </c>
      <c r="J4" s="3" t="s">
        <v>122</v>
      </c>
    </row>
    <row r="5" spans="1:12" ht="25.5" x14ac:dyDescent="0.25">
      <c r="A5" s="56" t="s">
        <v>50</v>
      </c>
      <c r="B5" s="3" t="s">
        <v>50</v>
      </c>
      <c r="C5" s="29"/>
      <c r="D5" s="56"/>
      <c r="E5" s="29"/>
      <c r="F5" s="29"/>
      <c r="H5" s="3" t="s">
        <v>48</v>
      </c>
      <c r="I5" s="3" t="s">
        <v>55</v>
      </c>
      <c r="J5" s="3"/>
    </row>
    <row r="6" spans="1:12" ht="25.5" x14ac:dyDescent="0.25">
      <c r="A6" s="29"/>
      <c r="B6" s="3" t="s">
        <v>55</v>
      </c>
      <c r="C6" s="29"/>
      <c r="D6" s="29"/>
      <c r="E6" s="29"/>
      <c r="F6" s="29"/>
      <c r="H6" s="56" t="s">
        <v>66</v>
      </c>
      <c r="I6" s="56" t="s">
        <v>79</v>
      </c>
      <c r="J6" s="56"/>
    </row>
    <row r="7" spans="1:12" ht="25.5" x14ac:dyDescent="0.25">
      <c r="A7" s="29"/>
      <c r="B7" s="56" t="s">
        <v>79</v>
      </c>
      <c r="C7" s="29"/>
      <c r="D7" s="29"/>
      <c r="E7" s="29"/>
      <c r="F7" s="29"/>
      <c r="H7" s="3" t="s">
        <v>133</v>
      </c>
      <c r="I7" s="3" t="s">
        <v>134</v>
      </c>
      <c r="J7" s="3"/>
    </row>
    <row r="8" spans="1:12" ht="25.5" x14ac:dyDescent="0.25">
      <c r="A8" s="29"/>
      <c r="B8" s="29"/>
      <c r="C8" s="29"/>
      <c r="D8" s="29"/>
      <c r="E8" s="29"/>
      <c r="F8" s="29"/>
      <c r="H8" s="3" t="s">
        <v>122</v>
      </c>
      <c r="I8" s="3" t="s">
        <v>122</v>
      </c>
      <c r="J8" s="3"/>
    </row>
    <row r="9" spans="1:12" x14ac:dyDescent="0.25">
      <c r="A9" s="29"/>
      <c r="B9" s="29"/>
      <c r="C9" s="29"/>
      <c r="D9" s="29"/>
      <c r="E9" s="29"/>
      <c r="F9" s="29"/>
      <c r="H9" s="56"/>
      <c r="I9" s="56"/>
      <c r="J9" s="56"/>
    </row>
    <row r="10" spans="1:12" x14ac:dyDescent="0.25">
      <c r="A10" s="29"/>
      <c r="B10" s="29"/>
      <c r="C10" s="29"/>
      <c r="D10" s="29"/>
      <c r="E10" s="29"/>
      <c r="F10" s="29"/>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63"/>
  <sheetViews>
    <sheetView showGridLines="0" tabSelected="1" zoomScaleNormal="100" workbookViewId="0">
      <pane ySplit="12" topLeftCell="A16" activePane="bottomLeft" state="frozen"/>
      <selection pane="bottomLeft" activeCell="N10" sqref="N10"/>
    </sheetView>
  </sheetViews>
  <sheetFormatPr defaultRowHeight="15" x14ac:dyDescent="0.25"/>
  <cols>
    <col min="1" max="1" width="22" customWidth="1"/>
    <col min="2" max="2" width="30" customWidth="1"/>
    <col min="3" max="3" width="30.5703125" customWidth="1"/>
    <col min="4" max="4" width="16" customWidth="1"/>
    <col min="5" max="5" width="18.140625" customWidth="1"/>
    <col min="6" max="6" width="19.140625" customWidth="1"/>
    <col min="7" max="7" width="19" customWidth="1"/>
    <col min="8" max="8" width="18.7109375" customWidth="1"/>
    <col min="9" max="9" width="19.42578125" customWidth="1"/>
    <col min="10" max="10" width="24" customWidth="1"/>
    <col min="11" max="11" width="21" customWidth="1"/>
    <col min="12" max="12" width="17.85546875" customWidth="1"/>
    <col min="13" max="13" width="13" customWidth="1"/>
    <col min="14" max="14" width="11.28515625" customWidth="1"/>
    <col min="15" max="15" width="22.7109375" customWidth="1"/>
    <col min="16" max="16" width="41" customWidth="1"/>
    <col min="17" max="17" width="23.85546875" customWidth="1"/>
    <col min="18" max="18" width="23.28515625" customWidth="1"/>
    <col min="19" max="19" width="10" customWidth="1"/>
    <col min="20" max="20" width="26" customWidth="1"/>
    <col min="21" max="21" width="16" customWidth="1"/>
    <col min="22" max="23" width="14" customWidth="1"/>
    <col min="24" max="24" width="16" customWidth="1"/>
    <col min="25" max="25" width="11" customWidth="1"/>
  </cols>
  <sheetData>
    <row r="1" spans="1:19" ht="23.25" x14ac:dyDescent="0.35">
      <c r="A1" s="4" t="s">
        <v>83</v>
      </c>
    </row>
    <row r="2" spans="1:19" x14ac:dyDescent="0.25">
      <c r="A2" s="5" t="s">
        <v>150</v>
      </c>
    </row>
    <row r="4" spans="1:19" x14ac:dyDescent="0.25">
      <c r="A4" s="7" t="s">
        <v>84</v>
      </c>
    </row>
    <row r="5" spans="1:19" x14ac:dyDescent="0.25">
      <c r="A5" s="7" t="s">
        <v>85</v>
      </c>
    </row>
    <row r="6" spans="1:19" x14ac:dyDescent="0.25">
      <c r="A6" s="8" t="s">
        <v>36</v>
      </c>
      <c r="B6" s="37" t="s">
        <v>37</v>
      </c>
    </row>
    <row r="8" spans="1:19" ht="15.75" x14ac:dyDescent="0.25">
      <c r="A8" s="30" t="s">
        <v>87</v>
      </c>
    </row>
    <row r="9" spans="1:19" x14ac:dyDescent="0.25">
      <c r="A9" s="72" t="s">
        <v>167</v>
      </c>
    </row>
    <row r="10" spans="1:19" ht="33.950000000000003" customHeight="1" x14ac:dyDescent="0.25">
      <c r="A10" s="10" t="s">
        <v>89</v>
      </c>
      <c r="B10" s="10" t="s">
        <v>90</v>
      </c>
      <c r="C10" s="10" t="s">
        <v>91</v>
      </c>
      <c r="D10" s="10" t="s">
        <v>92</v>
      </c>
      <c r="E10" s="49" t="s">
        <v>121</v>
      </c>
      <c r="F10" s="10" t="s">
        <v>93</v>
      </c>
      <c r="G10" s="10" t="s">
        <v>94</v>
      </c>
      <c r="H10" s="49" t="s">
        <v>165</v>
      </c>
      <c r="I10" s="10" t="s">
        <v>96</v>
      </c>
      <c r="J10" s="10" t="s">
        <v>97</v>
      </c>
    </row>
    <row r="11" spans="1:19" ht="71.25" customHeight="1" x14ac:dyDescent="0.25">
      <c r="A11" s="13" t="s">
        <v>164</v>
      </c>
      <c r="B11" s="13">
        <v>2026</v>
      </c>
      <c r="C11" s="32">
        <f>SUM(tblActivity[tCO2e])</f>
        <v>378.77466499999997</v>
      </c>
      <c r="D11" s="33">
        <v>2030</v>
      </c>
      <c r="E11" s="34" t="s">
        <v>109</v>
      </c>
      <c r="F11" s="42">
        <v>70</v>
      </c>
      <c r="G11" s="35">
        <f>IF(tblTarget[[#This Row],[Impact Unit]]="Percentage",IF(tblTarget[[#This Row],[Target Input]]&lt;=1,tblTarget[[#This Row],[Target Input]],tblTarget[[#This Row],[Target Input]]/100),IF(tblTarget[[#This Row],[Baseline Emissions (tCO2e)]]&lt;=0,0,tblTarget[[#This Row],[Target Input]]/tblTarget[[#This Row],[Baseline Emissions (tCO2e)]]))</f>
        <v>0.7</v>
      </c>
      <c r="H11" s="32">
        <f>IF(tblTarget[[#This Row],[Impact Unit]]="Percentage",tblTarget[[#This Row],[Baseline Emissions (tCO2e)]]*(1-tblTarget[[#This Row],[Target Reduction %]]),tblTarget[[#This Row],[Baseline Emissions (tCO2e)]]-tblTarget[[#This Row],[Target Input]])</f>
        <v>113.63239950000001</v>
      </c>
      <c r="I11" s="32">
        <f>tblTarget[[#This Row],[Baseline Emissions (tCO2e)]]-tblTarget[[#This Row],[Projected Remaining Emission (tCO2e)]]</f>
        <v>265.14226549999995</v>
      </c>
      <c r="J11" s="45" t="s">
        <v>139</v>
      </c>
      <c r="N11" s="30" t="s">
        <v>86</v>
      </c>
    </row>
    <row r="12" spans="1:19" x14ac:dyDescent="0.25">
      <c r="N12" s="7" t="s">
        <v>88</v>
      </c>
    </row>
    <row r="13" spans="1:19" ht="25.5" x14ac:dyDescent="0.25">
      <c r="A13" s="30" t="s">
        <v>129</v>
      </c>
      <c r="C13" s="48" t="s">
        <v>127</v>
      </c>
      <c r="N13" s="10" t="s">
        <v>98</v>
      </c>
      <c r="O13" s="10" t="s">
        <v>99</v>
      </c>
      <c r="P13" s="10" t="s">
        <v>100</v>
      </c>
      <c r="Q13" s="10" t="s">
        <v>101</v>
      </c>
      <c r="R13" s="10" t="s">
        <v>106</v>
      </c>
      <c r="S13" s="10" t="s">
        <v>43</v>
      </c>
    </row>
    <row r="14" spans="1:19" ht="38.25" x14ac:dyDescent="0.25">
      <c r="A14" s="66" t="s">
        <v>102</v>
      </c>
      <c r="B14" s="66" t="s">
        <v>103</v>
      </c>
      <c r="C14" s="66" t="s">
        <v>43</v>
      </c>
      <c r="D14" s="66" t="s">
        <v>104</v>
      </c>
      <c r="E14" s="67" t="s">
        <v>121</v>
      </c>
      <c r="F14" s="66" t="s">
        <v>118</v>
      </c>
      <c r="G14" s="66" t="s">
        <v>105</v>
      </c>
      <c r="H14" s="66" t="s">
        <v>166</v>
      </c>
      <c r="I14" s="66" t="s">
        <v>119</v>
      </c>
      <c r="J14" s="66" t="s">
        <v>106</v>
      </c>
      <c r="K14" s="66" t="s">
        <v>165</v>
      </c>
      <c r="L14" s="43" t="s">
        <v>97</v>
      </c>
      <c r="N14" s="41">
        <v>0</v>
      </c>
      <c r="O14" s="44" t="str" cm="1">
        <f t="array" ref="O14">tblTarget[Baseline Year]&amp;" Baseline Emissions"</f>
        <v>2026 Baseline Emissions</v>
      </c>
      <c r="P14" s="36" t="s">
        <v>125</v>
      </c>
      <c r="Q14" s="50" cm="1">
        <f t="array" ref="Q14">tblTarget[Baseline Emissions (tCO2e)]</f>
        <v>378.77466499999997</v>
      </c>
      <c r="R14" s="51" cm="1">
        <f t="array" ref="R14">IF(tblWaterfall_S1[[#This Row],[Waterfall Category]]="","",IF(OR(tblWaterfall_S1[[#This Row],[Waterfall Type]]="Baseline",tblWaterfall_S1[[#This Row],[Waterfall Type]]="Planned Residual",tblWaterfall_S1[[#This Row],[Waterfall Type]]="Target"),0,IF(tblTarget[Required Reduction (tCO2e)]&lt;=0,0,-tblWaterfall_S1[[#This Row],[Amount (tCO2e)]]/tblTarget[Required Reduction (tCO2e)])))</f>
        <v>0</v>
      </c>
      <c r="S14" s="36" t="s">
        <v>126</v>
      </c>
    </row>
    <row r="15" spans="1:19" ht="15" customHeight="1" x14ac:dyDescent="0.25">
      <c r="A15" s="69" t="str" cm="1">
        <f t="array" ref="A15">IF(tblDecarbLevers_S1[[#This Row],[Lever Name]]="","","L"&amp;TEXT(ROW()-ROW(tblDecarbLevers_S1[#Headers]),"000"))</f>
        <v>L001</v>
      </c>
      <c r="B15" s="70" t="s">
        <v>108</v>
      </c>
      <c r="C15" s="61" t="s">
        <v>49</v>
      </c>
      <c r="D15" s="70" t="s">
        <v>133</v>
      </c>
      <c r="E15" s="62" t="s">
        <v>109</v>
      </c>
      <c r="F15" s="63">
        <v>100</v>
      </c>
      <c r="G15" s="64" cm="1">
        <f t="array" ref="G15">IF(tblDecarbLevers_S1[[#This Row],[Lever Name]]="",0,MAX(0,SUMPRODUCT(IF(((tblActivity[Scope]=tblDecarbLevers_S1[[#This Row],[Scope]])+(tblDecarbLevers_S1[[#This Row],[Scope]]="Scope 1 and 2")&gt;0)*((tblActivity[Source]=tblDecarbLevers_S1[[#This Row],[Emission Source]])+(tblDecarbLevers_S1[[#This Row],[Emission Source]]="All Sources")+((tblDecarbLevers_S1[[#This Row],[Emission Source]]="Liquid Fuels")*((tblActivity[Source]="Petrol")+(tblActivity[Source]="Diesel")))+((tblDecarbLevers_S1[[#This Row],[Emission Source]]="Heat &amp; Steam")*((tblActivity[Source]="Purchased Heating")+(tblActivity[Source]="Purchased Steam")))&gt;0),tblActivity[tCO2e],0))-tblDecarbLevers_S1[[#This Row],[Less: Claimed by Earlier Levers (tCO2e)]]))</f>
        <v>50.987825000000008</v>
      </c>
      <c r="H15" s="64" cm="1">
        <f t="array" ref="H15">_xlfn.LET(_xlpm.k,ROW()-ROW(tblDecarbLevers_S1[#Headers]),IF(OR(tblDecarbLevers_S1[[#This Row],[Lever Name]]="",_xlpm.k=1),0,_xlfn.LET(_xlpm.rScope,INDEX(tblDecarbLevers_S1[Scope],1):INDEX(tblDecarbLevers_S1[Scope],_xlpm.k-1),_xlpm.rSource,INDEX(tblDecarbLevers_S1[Emission Source],1):INDEX(tblDecarbLevers_S1[Emission Source],_xlpm.k-1),_xlpm.rImpact,INDEX(tblDecarbLevers_S1[Calculated Impact (tCO2e)],1):INDEX(tblDecarbLevers_S1[Calculated Impact (tCO2e)],_xlpm.k-1),SUMPRODUCT(((_xlpm.rScope=tblDecarbLevers_S1[[#This Row],[Scope]])+(tblDecarbLevers_S1[[#This Row],[Scope]]="Scope 1 and 2")+(_xlpm.rScope="Scope 1 and 2")&gt;0)*((_xlpm.rSource=tblDecarbLevers_S1[[#This Row],[Emission Source]])+(tblDecarbLevers_S1[[#This Row],[Emission Source]]="All Sources")+(_xlpm.rSource="All Sources")+((tblDecarbLevers_S1[[#This Row],[Emission Source]]="Liquid Fuels")*((_xlpm.rSource="Petrol")+(_xlpm.rSource="Diesel")))+((_xlpm.rSource="Liquid Fuels")*((tblDecarbLevers_S1[[#This Row],[Emission Source]]="Petrol")+(tblDecarbLevers_S1[[#This Row],[Emission Source]]="Diesel")))+((tblDecarbLevers_S1[[#This Row],[Emission Source]]="Heat &amp; Steam")*((_xlpm.rSource="Purchased Heating")+(_xlpm.rSource="Purchased Steam")))+((_xlpm.rSource="Heat &amp; Steam")*((tblDecarbLevers_S1[[#This Row],[Emission Source]]="Purchased Heating")+(tblDecarbLevers_S1[[#This Row],[Emission Source]]="Purchased Steam")))&gt;0)*_xlpm.rImpact))))</f>
        <v>0</v>
      </c>
      <c r="I15" s="65">
        <f>IF(OR(tblDecarbLevers_S1[[#This Row],[Lever Name]]="",tblDecarbLevers_S1[[#This Row],[Impact Unit]]=""),0,IF(tblDecarbLevers_S1[[#This Row],[Impact Unit]]="Percentage",tblDecarbLevers_S1[[#This Row],[Applicable Baseline Emissions (tCO2e)]]*N(tblDecarbLevers_S1[[#This Row],[Impact Input]])/100,MIN(N(tblDecarbLevers_S1[[#This Row],[Impact Input]]),tblDecarbLevers_S1[[#This Row],[Applicable Baseline Emissions (tCO2e)]])))</f>
        <v>50.987825000000015</v>
      </c>
      <c r="J15" s="71" cm="1">
        <f t="array" ref="J15">IF(OR(tblDecarbLevers_S1[[#This Row],[Lever Name]]="",tblTarget[Required Reduction (tCO2e)]&lt;=0),0,tblDecarbLevers_S1[[#This Row],[Calculated Impact (tCO2e)]]/tblTarget[Required Reduction (tCO2e)])</f>
        <v>0.19230364839739225</v>
      </c>
      <c r="K15" s="65" cm="1">
        <f t="array" ref="K15">IF(tblDecarbLevers_S1[[#This Row],[Lever Name]]="",0,ROUND(tblTarget[Baseline Emissions (tCO2e)]-SUM(INDEX(tblDecarbLevers_S1[Calculated Impact (tCO2e)],1):tblDecarbLevers_S1[[#This Row],[Calculated Impact (tCO2e)]]),6))</f>
        <v>327.78683999999998</v>
      </c>
      <c r="L15" s="68" t="s">
        <v>123</v>
      </c>
      <c r="N15" s="41">
        <v>1</v>
      </c>
      <c r="O15" s="44" t="str" cm="1">
        <f t="array" ref="O15">IF(INDEX(tblDecarbLevers_S1[Lever Name],tblWaterfall_S1[[#This Row],[Sequence]])="","",INDEX(tblDecarbLevers_S1[Lever Name],tblWaterfall_S1[[#This Row],[Sequence]]))</f>
        <v>Fleet Electrification</v>
      </c>
      <c r="P15" s="36" t="str" cm="1">
        <f t="array" ref="P15">IF(tblWaterfall_S1[[#This Row],[Waterfall Category]]="","",IF(INDEX(tblDecarbLevers_S1[Calculated Impact (tCO2e)],tblWaterfall_S1[[#This Row],[Sequence]])&lt;0,"Emission Increase","Reduction Lever"))</f>
        <v>Reduction Lever</v>
      </c>
      <c r="Q15" s="50" cm="1">
        <f t="array" ref="Q15">IF(tblWaterfall_S1[[#This Row],[Waterfall Category]]="","",-INDEX(tblDecarbLevers_S1[Calculated Impact (tCO2e)],tblWaterfall_S1[[#This Row],[Sequence]]))</f>
        <v>-50.987825000000015</v>
      </c>
      <c r="R15" s="51" cm="1">
        <f t="array" ref="R15">IF(tblWaterfall_S1[[#This Row],[Waterfall Category]]="","",IF(OR(tblWaterfall_S1[[#This Row],[Waterfall Type]]="Baseline",tblWaterfall_S1[[#This Row],[Waterfall Type]]="Planned Residual",tblWaterfall_S1[[#This Row],[Waterfall Type]]="Target"),0,IF(tblTarget[Required Reduction (tCO2e)]&lt;=0,0,-tblWaterfall_S1[[#This Row],[Amount (tCO2e)]]/tblTarget[Required Reduction (tCO2e)])))</f>
        <v>0.19230364839739225</v>
      </c>
      <c r="S15" s="36" t="str" cm="1">
        <f t="array" ref="S15">IF(tblWaterfall_S1[[#This Row],[Waterfall Category]]="","",INDEX(tblDecarbLevers_S1[Scope],tblWaterfall_S1[[#This Row],[Sequence]]))</f>
        <v>Scope 1</v>
      </c>
    </row>
    <row r="16" spans="1:19" ht="15" customHeight="1" x14ac:dyDescent="0.25">
      <c r="A16" s="69" t="str" cm="1">
        <f t="array" ref="A16">IF(tblDecarbLevers_S1[[#This Row],[Lever Name]]="","","L"&amp;TEXT(ROW()-ROW(tblDecarbLevers_S1[#Headers]),"000"))</f>
        <v>L002</v>
      </c>
      <c r="B16" s="70" t="s">
        <v>140</v>
      </c>
      <c r="C16" s="61" t="s">
        <v>49</v>
      </c>
      <c r="D16" s="70" t="s">
        <v>66</v>
      </c>
      <c r="E16" s="62" t="s">
        <v>109</v>
      </c>
      <c r="F16" s="63">
        <v>100</v>
      </c>
      <c r="G16" s="64" cm="1">
        <f t="array" ref="G16">IF(tblDecarbLevers_S1[[#This Row],[Lever Name]]="",0,MAX(0,SUMPRODUCT(IF(((tblActivity[Scope]=tblDecarbLevers_S1[[#This Row],[Scope]])+(tblDecarbLevers_S1[[#This Row],[Scope]]="Scope 1 and 2")&gt;0)*((tblActivity[Source]=tblDecarbLevers_S1[[#This Row],[Emission Source]])+(tblDecarbLevers_S1[[#This Row],[Emission Source]]="All Sources")+((tblDecarbLevers_S1[[#This Row],[Emission Source]]="Liquid Fuels")*((tblActivity[Source]="Petrol")+(tblActivity[Source]="Diesel")))+((tblDecarbLevers_S1[[#This Row],[Emission Source]]="Heat &amp; Steam")*((tblActivity[Source]="Purchased Heating")+(tblActivity[Source]="Purchased Steam")))&gt;0),tblActivity[tCO2e],0))-tblDecarbLevers_S1[[#This Row],[Less: Claimed by Earlier Levers (tCO2e)]]))</f>
        <v>51.53</v>
      </c>
      <c r="H16" s="64" cm="1">
        <f t="array" ref="H16">_xlfn.LET(_xlpm.k,ROW()-ROW(tblDecarbLevers_S1[#Headers]),IF(OR(tblDecarbLevers_S1[[#This Row],[Lever Name]]="",_xlpm.k=1),0,_xlfn.LET(_xlpm.rScope,INDEX(tblDecarbLevers_S1[Scope],1):INDEX(tblDecarbLevers_S1[Scope],_xlpm.k-1),_xlpm.rSource,INDEX(tblDecarbLevers_S1[Emission Source],1):INDEX(tblDecarbLevers_S1[Emission Source],_xlpm.k-1),_xlpm.rImpact,INDEX(tblDecarbLevers_S1[Calculated Impact (tCO2e)],1):INDEX(tblDecarbLevers_S1[Calculated Impact (tCO2e)],_xlpm.k-1),SUMPRODUCT(((_xlpm.rScope=tblDecarbLevers_S1[[#This Row],[Scope]])+(tblDecarbLevers_S1[[#This Row],[Scope]]="Scope 1 and 2")+(_xlpm.rScope="Scope 1 and 2")&gt;0)*((_xlpm.rSource=tblDecarbLevers_S1[[#This Row],[Emission Source]])+(tblDecarbLevers_S1[[#This Row],[Emission Source]]="All Sources")+(_xlpm.rSource="All Sources")+((tblDecarbLevers_S1[[#This Row],[Emission Source]]="Liquid Fuels")*((_xlpm.rSource="Petrol")+(_xlpm.rSource="Diesel")))+((_xlpm.rSource="Liquid Fuels")*((tblDecarbLevers_S1[[#This Row],[Emission Source]]="Petrol")+(tblDecarbLevers_S1[[#This Row],[Emission Source]]="Diesel")))+((tblDecarbLevers_S1[[#This Row],[Emission Source]]="Heat &amp; Steam")*((_xlpm.rSource="Purchased Heating")+(_xlpm.rSource="Purchased Steam")))+((_xlpm.rSource="Heat &amp; Steam")*((tblDecarbLevers_S1[[#This Row],[Emission Source]]="Purchased Heating")+(tblDecarbLevers_S1[[#This Row],[Emission Source]]="Purchased Steam")))&gt;0)*_xlpm.rImpact))))</f>
        <v>0</v>
      </c>
      <c r="I16" s="65">
        <f>IF(OR(tblDecarbLevers_S1[[#This Row],[Lever Name]]="",tblDecarbLevers_S1[[#This Row],[Impact Unit]]=""),0,IF(tblDecarbLevers_S1[[#This Row],[Impact Unit]]="Percentage",tblDecarbLevers_S1[[#This Row],[Applicable Baseline Emissions (tCO2e)]]*N(tblDecarbLevers_S1[[#This Row],[Impact Input]])/100,MIN(N(tblDecarbLevers_S1[[#This Row],[Impact Input]]),tblDecarbLevers_S1[[#This Row],[Applicable Baseline Emissions (tCO2e)]])))</f>
        <v>51.53</v>
      </c>
      <c r="J16" s="71" cm="1">
        <f t="array" ref="J16">IF(OR(tblDecarbLevers_S1[[#This Row],[Lever Name]]="",tblTarget[Required Reduction (tCO2e)]&lt;=0),0,tblDecarbLevers_S1[[#This Row],[Calculated Impact (tCO2e)]]/tblTarget[Required Reduction (tCO2e)])</f>
        <v>0.19434849401631898</v>
      </c>
      <c r="K16" s="65" cm="1">
        <f t="array" ref="K16">IF(tblDecarbLevers_S1[[#This Row],[Lever Name]]="",0,ROUND(tblTarget[Baseline Emissions (tCO2e)]-SUM(INDEX(tblDecarbLevers_S1[Calculated Impact (tCO2e)],1):tblDecarbLevers_S1[[#This Row],[Calculated Impact (tCO2e)]]),6))</f>
        <v>276.25684000000001</v>
      </c>
      <c r="L16" s="68"/>
      <c r="N16" s="41">
        <v>2</v>
      </c>
      <c r="O16" s="44" t="str" cm="1">
        <f t="array" ref="O16">IF(INDEX(tblDecarbLevers_S1[Lever Name],tblWaterfall_S1[[#This Row],[Sequence]])="","",INDEX(tblDecarbLevers_S1[Lever Name],tblWaterfall_S1[[#This Row],[Sequence]]))</f>
        <v>Facility Gas Boiler Phase-Out</v>
      </c>
      <c r="P16" s="36" t="str" cm="1">
        <f t="array" ref="P16">IF(tblWaterfall_S1[[#This Row],[Waterfall Category]]="","",IF(INDEX(tblDecarbLevers_S1[Calculated Impact (tCO2e)],tblWaterfall_S1[[#This Row],[Sequence]])&lt;0,"Emission Increase","Reduction Lever"))</f>
        <v>Reduction Lever</v>
      </c>
      <c r="Q16" s="50" cm="1">
        <f t="array" ref="Q16">IF(tblWaterfall_S1[[#This Row],[Waterfall Category]]="","",-INDEX(tblDecarbLevers_S1[Calculated Impact (tCO2e)],tblWaterfall_S1[[#This Row],[Sequence]]))</f>
        <v>-51.53</v>
      </c>
      <c r="R16" s="51" cm="1">
        <f t="array" ref="R16">IF(tblWaterfall_S1[[#This Row],[Waterfall Category]]="","",IF(OR(tblWaterfall_S1[[#This Row],[Waterfall Type]]="Baseline",tblWaterfall_S1[[#This Row],[Waterfall Type]]="Planned Residual",tblWaterfall_S1[[#This Row],[Waterfall Type]]="Target"),0,IF(tblTarget[Required Reduction (tCO2e)]&lt;=0,0,-tblWaterfall_S1[[#This Row],[Amount (tCO2e)]]/tblTarget[Required Reduction (tCO2e)])))</f>
        <v>0.19434849401631898</v>
      </c>
      <c r="S16" s="36" t="str" cm="1">
        <f t="array" ref="S16">IF(tblWaterfall_S1[[#This Row],[Waterfall Category]]="","",INDEX(tblDecarbLevers_S1[Scope],tblWaterfall_S1[[#This Row],[Sequence]]))</f>
        <v>Scope 1</v>
      </c>
    </row>
    <row r="17" spans="1:19" ht="15" customHeight="1" x14ac:dyDescent="0.25">
      <c r="A17" s="69" t="str" cm="1">
        <f t="array" ref="A17">IF(tblDecarbLevers_S1[[#This Row],[Lever Name]]="","","L"&amp;TEXT(ROW()-ROW(tblDecarbLevers_S1[#Headers]),"000"))</f>
        <v>L003</v>
      </c>
      <c r="B17" s="70" t="s">
        <v>141</v>
      </c>
      <c r="C17" s="61" t="s">
        <v>51</v>
      </c>
      <c r="D17" s="70" t="s">
        <v>134</v>
      </c>
      <c r="E17" s="62" t="s">
        <v>109</v>
      </c>
      <c r="F17" s="63">
        <v>100</v>
      </c>
      <c r="G17" s="64" cm="1">
        <f t="array" ref="G17">IF(tblDecarbLevers_S1[[#This Row],[Lever Name]]="",0,MAX(0,SUMPRODUCT(IF(((tblActivity[Scope]=tblDecarbLevers_S1[[#This Row],[Scope]])+(tblDecarbLevers_S1[[#This Row],[Scope]]="Scope 1 and 2")&gt;0)*((tblActivity[Source]=tblDecarbLevers_S1[[#This Row],[Emission Source]])+(tblDecarbLevers_S1[[#This Row],[Emission Source]]="All Sources")+((tblDecarbLevers_S1[[#This Row],[Emission Source]]="Liquid Fuels")*((tblActivity[Source]="Petrol")+(tblActivity[Source]="Diesel")))+((tblDecarbLevers_S1[[#This Row],[Emission Source]]="Heat &amp; Steam")*((tblActivity[Source]="Purchased Heating")+(tblActivity[Source]="Purchased Steam")))&gt;0),tblActivity[tCO2e],0))-tblDecarbLevers_S1[[#This Row],[Less: Claimed by Earlier Levers (tCO2e)]]))</f>
        <v>34.356840000000005</v>
      </c>
      <c r="H17" s="64" cm="1">
        <f t="array" ref="H17">_xlfn.LET(_xlpm.k,ROW()-ROW(tblDecarbLevers_S1[#Headers]),IF(OR(tblDecarbLevers_S1[[#This Row],[Lever Name]]="",_xlpm.k=1),0,_xlfn.LET(_xlpm.rScope,INDEX(tblDecarbLevers_S1[Scope],1):INDEX(tblDecarbLevers_S1[Scope],_xlpm.k-1),_xlpm.rSource,INDEX(tblDecarbLevers_S1[Emission Source],1):INDEX(tblDecarbLevers_S1[Emission Source],_xlpm.k-1),_xlpm.rImpact,INDEX(tblDecarbLevers_S1[Calculated Impact (tCO2e)],1):INDEX(tblDecarbLevers_S1[Calculated Impact (tCO2e)],_xlpm.k-1),SUMPRODUCT(((_xlpm.rScope=tblDecarbLevers_S1[[#This Row],[Scope]])+(tblDecarbLevers_S1[[#This Row],[Scope]]="Scope 1 and 2")+(_xlpm.rScope="Scope 1 and 2")&gt;0)*((_xlpm.rSource=tblDecarbLevers_S1[[#This Row],[Emission Source]])+(tblDecarbLevers_S1[[#This Row],[Emission Source]]="All Sources")+(_xlpm.rSource="All Sources")+((tblDecarbLevers_S1[[#This Row],[Emission Source]]="Liquid Fuels")*((_xlpm.rSource="Petrol")+(_xlpm.rSource="Diesel")))+((_xlpm.rSource="Liquid Fuels")*((tblDecarbLevers_S1[[#This Row],[Emission Source]]="Petrol")+(tblDecarbLevers_S1[[#This Row],[Emission Source]]="Diesel")))+((tblDecarbLevers_S1[[#This Row],[Emission Source]]="Heat &amp; Steam")*((_xlpm.rSource="Purchased Heating")+(_xlpm.rSource="Purchased Steam")))+((_xlpm.rSource="Heat &amp; Steam")*((tblDecarbLevers_S1[[#This Row],[Emission Source]]="Purchased Heating")+(tblDecarbLevers_S1[[#This Row],[Emission Source]]="Purchased Steam")))&gt;0)*_xlpm.rImpact))))</f>
        <v>0</v>
      </c>
      <c r="I17" s="65">
        <f>IF(OR(tblDecarbLevers_S1[[#This Row],[Lever Name]]="",tblDecarbLevers_S1[[#This Row],[Impact Unit]]=""),0,IF(tblDecarbLevers_S1[[#This Row],[Impact Unit]]="Percentage",tblDecarbLevers_S1[[#This Row],[Applicable Baseline Emissions (tCO2e)]]*N(tblDecarbLevers_S1[[#This Row],[Impact Input]])/100,MIN(N(tblDecarbLevers_S1[[#This Row],[Impact Input]]),tblDecarbLevers_S1[[#This Row],[Applicable Baseline Emissions (tCO2e)]])))</f>
        <v>34.356840000000005</v>
      </c>
      <c r="J17" s="71" cm="1">
        <f t="array" ref="J17">IF(OR(tblDecarbLevers_S1[[#This Row],[Lever Name]]="",tblTarget[Required Reduction (tCO2e)]&lt;=0),0,tblDecarbLevers_S1[[#This Row],[Calculated Impact (tCO2e)]]/tblTarget[Required Reduction (tCO2e)])</f>
        <v>0.12957888828177042</v>
      </c>
      <c r="K17" s="65" cm="1">
        <f t="array" ref="K17">IF(tblDecarbLevers_S1[[#This Row],[Lever Name]]="",0,ROUND(tblTarget[Baseline Emissions (tCO2e)]-SUM(INDEX(tblDecarbLevers_S1[Calculated Impact (tCO2e)],1):tblDecarbLevers_S1[[#This Row],[Calculated Impact (tCO2e)]]),6))</f>
        <v>241.9</v>
      </c>
      <c r="L17" s="68" t="s">
        <v>124</v>
      </c>
      <c r="N17" s="41">
        <v>3</v>
      </c>
      <c r="O17" s="44" t="str" cm="1">
        <f t="array" ref="O17">IF(INDEX(tblDecarbLevers_S1[Lever Name],tblWaterfall_S1[[#This Row],[Sequence]])="","",INDEX(tblDecarbLevers_S1[Lever Name],tblWaterfall_S1[[#This Row],[Sequence]]))</f>
        <v>Electrification of Heat &amp; Steam</v>
      </c>
      <c r="P17" s="36" t="str" cm="1">
        <f t="array" ref="P17">IF(tblWaterfall_S1[[#This Row],[Waterfall Category]]="","",IF(INDEX(tblDecarbLevers_S1[Calculated Impact (tCO2e)],tblWaterfall_S1[[#This Row],[Sequence]])&lt;0,"Emission Increase","Reduction Lever"))</f>
        <v>Reduction Lever</v>
      </c>
      <c r="Q17" s="50" cm="1">
        <f t="array" ref="Q17">IF(tblWaterfall_S1[[#This Row],[Waterfall Category]]="","",-INDEX(tblDecarbLevers_S1[Calculated Impact (tCO2e)],tblWaterfall_S1[[#This Row],[Sequence]]))</f>
        <v>-34.356840000000005</v>
      </c>
      <c r="R17" s="51" cm="1">
        <f t="array" ref="R17">IF(tblWaterfall_S1[[#This Row],[Waterfall Category]]="","",IF(OR(tblWaterfall_S1[[#This Row],[Waterfall Type]]="Baseline",tblWaterfall_S1[[#This Row],[Waterfall Type]]="Planned Residual",tblWaterfall_S1[[#This Row],[Waterfall Type]]="Target"),0,IF(tblTarget[Required Reduction (tCO2e)]&lt;=0,0,-tblWaterfall_S1[[#This Row],[Amount (tCO2e)]]/tblTarget[Required Reduction (tCO2e)])))</f>
        <v>0.12957888828177042</v>
      </c>
      <c r="S17" s="36" t="str" cm="1">
        <f t="array" ref="S17">IF(tblWaterfall_S1[[#This Row],[Waterfall Category]]="","",INDEX(tblDecarbLevers_S1[Scope],tblWaterfall_S1[[#This Row],[Sequence]]))</f>
        <v>Scope 2</v>
      </c>
    </row>
    <row r="18" spans="1:19" ht="15" customHeight="1" x14ac:dyDescent="0.25">
      <c r="A18" s="69" t="str" cm="1">
        <f t="array" ref="A18">IF(tblDecarbLevers_S1[[#This Row],[Lever Name]]="","","L"&amp;TEXT(ROW()-ROW(tblDecarbLevers_S1[#Headers]),"000"))</f>
        <v>L004</v>
      </c>
      <c r="B18" s="70" t="s">
        <v>143</v>
      </c>
      <c r="C18" s="61" t="s">
        <v>51</v>
      </c>
      <c r="D18" s="70" t="s">
        <v>50</v>
      </c>
      <c r="E18" s="62" t="s">
        <v>120</v>
      </c>
      <c r="F18" s="63">
        <v>150</v>
      </c>
      <c r="G18" s="64" cm="1">
        <f t="array" ref="G18">IF(tblDecarbLevers_S1[[#This Row],[Lever Name]]="",0,MAX(0,SUMPRODUCT(IF(((tblActivity[Scope]=tblDecarbLevers_S1[[#This Row],[Scope]])+(tblDecarbLevers_S1[[#This Row],[Scope]]="Scope 1 and 2")&gt;0)*((tblActivity[Source]=tblDecarbLevers_S1[[#This Row],[Emission Source]])+(tblDecarbLevers_S1[[#This Row],[Emission Source]]="All Sources")+((tblDecarbLevers_S1[[#This Row],[Emission Source]]="Liquid Fuels")*((tblActivity[Source]="Petrol")+(tblActivity[Source]="Diesel")))+((tblDecarbLevers_S1[[#This Row],[Emission Source]]="Heat &amp; Steam")*((tblActivity[Source]="Purchased Heating")+(tblActivity[Source]="Purchased Steam")))&gt;0),tblActivity[tCO2e],0))-tblDecarbLevers_S1[[#This Row],[Less: Claimed by Earlier Levers (tCO2e)]]))</f>
        <v>241.9</v>
      </c>
      <c r="H18" s="64" cm="1">
        <f t="array" ref="H18">_xlfn.LET(_xlpm.k,ROW()-ROW(tblDecarbLevers_S1[#Headers]),IF(OR(tblDecarbLevers_S1[[#This Row],[Lever Name]]="",_xlpm.k=1),0,_xlfn.LET(_xlpm.rScope,INDEX(tblDecarbLevers_S1[Scope],1):INDEX(tblDecarbLevers_S1[Scope],_xlpm.k-1),_xlpm.rSource,INDEX(tblDecarbLevers_S1[Emission Source],1):INDEX(tblDecarbLevers_S1[Emission Source],_xlpm.k-1),_xlpm.rImpact,INDEX(tblDecarbLevers_S1[Calculated Impact (tCO2e)],1):INDEX(tblDecarbLevers_S1[Calculated Impact (tCO2e)],_xlpm.k-1),SUMPRODUCT(((_xlpm.rScope=tblDecarbLevers_S1[[#This Row],[Scope]])+(tblDecarbLevers_S1[[#This Row],[Scope]]="Scope 1 and 2")+(_xlpm.rScope="Scope 1 and 2")&gt;0)*((_xlpm.rSource=tblDecarbLevers_S1[[#This Row],[Emission Source]])+(tblDecarbLevers_S1[[#This Row],[Emission Source]]="All Sources")+(_xlpm.rSource="All Sources")+((tblDecarbLevers_S1[[#This Row],[Emission Source]]="Liquid Fuels")*((_xlpm.rSource="Petrol")+(_xlpm.rSource="Diesel")))+((_xlpm.rSource="Liquid Fuels")*((tblDecarbLevers_S1[[#This Row],[Emission Source]]="Petrol")+(tblDecarbLevers_S1[[#This Row],[Emission Source]]="Diesel")))+((tblDecarbLevers_S1[[#This Row],[Emission Source]]="Heat &amp; Steam")*((_xlpm.rSource="Purchased Heating")+(_xlpm.rSource="Purchased Steam")))+((_xlpm.rSource="Heat &amp; Steam")*((tblDecarbLevers_S1[[#This Row],[Emission Source]]="Purchased Heating")+(tblDecarbLevers_S1[[#This Row],[Emission Source]]="Purchased Steam")))&gt;0)*_xlpm.rImpact))))</f>
        <v>0</v>
      </c>
      <c r="I18" s="65">
        <f>IF(OR(tblDecarbLevers_S1[[#This Row],[Lever Name]]="",tblDecarbLevers_S1[[#This Row],[Impact Unit]]=""),0,IF(tblDecarbLevers_S1[[#This Row],[Impact Unit]]="Percentage",tblDecarbLevers_S1[[#This Row],[Applicable Baseline Emissions (tCO2e)]]*N(tblDecarbLevers_S1[[#This Row],[Impact Input]])/100,MIN(N(tblDecarbLevers_S1[[#This Row],[Impact Input]]),tblDecarbLevers_S1[[#This Row],[Applicable Baseline Emissions (tCO2e)]])))</f>
        <v>150</v>
      </c>
      <c r="J18" s="71" cm="1">
        <f t="array" ref="J18">IF(OR(tblDecarbLevers_S1[[#This Row],[Lever Name]]="",tblTarget[Required Reduction (tCO2e)]&lt;=0),0,tblDecarbLevers_S1[[#This Row],[Calculated Impact (tCO2e)]]/tblTarget[Required Reduction (tCO2e)])</f>
        <v>0.56573402100616821</v>
      </c>
      <c r="K18" s="65" cm="1">
        <f t="array" ref="K18">IF(tblDecarbLevers_S1[[#This Row],[Lever Name]]="",0,ROUND(tblTarget[Baseline Emissions (tCO2e)]-SUM(INDEX(tblDecarbLevers_S1[Calculated Impact (tCO2e)],1):tblDecarbLevers_S1[[#This Row],[Calculated Impact (tCO2e)]]),6))</f>
        <v>91.9</v>
      </c>
      <c r="L18" s="68"/>
      <c r="N18" s="41">
        <v>4</v>
      </c>
      <c r="O18" s="44" t="str" cm="1">
        <f t="array" ref="O18">IF(INDEX(tblDecarbLevers_S1[Lever Name],tblWaterfall_S1[[#This Row],[Sequence]])="","",INDEX(tblDecarbLevers_S1[Lever Name],tblWaterfall_S1[[#This Row],[Sequence]]))</f>
        <v>Building Energy Efficiency Improvements</v>
      </c>
      <c r="P18" s="36" t="str" cm="1">
        <f t="array" ref="P18">IF(tblWaterfall_S1[[#This Row],[Waterfall Category]]="","",IF(INDEX(tblDecarbLevers_S1[Calculated Impact (tCO2e)],tblWaterfall_S1[[#This Row],[Sequence]])&lt;0,"Emission Increase","Reduction Lever"))</f>
        <v>Reduction Lever</v>
      </c>
      <c r="Q18" s="50" cm="1">
        <f t="array" ref="Q18">IF(tblWaterfall_S1[[#This Row],[Waterfall Category]]="","",-INDEX(tblDecarbLevers_S1[Calculated Impact (tCO2e)],tblWaterfall_S1[[#This Row],[Sequence]]))</f>
        <v>-150</v>
      </c>
      <c r="R18" s="51" cm="1">
        <f t="array" ref="R18">IF(tblWaterfall_S1[[#This Row],[Waterfall Category]]="","",IF(OR(tblWaterfall_S1[[#This Row],[Waterfall Type]]="Baseline",tblWaterfall_S1[[#This Row],[Waterfall Type]]="Planned Residual",tblWaterfall_S1[[#This Row],[Waterfall Type]]="Target"),0,IF(tblTarget[Required Reduction (tCO2e)]&lt;=0,0,-tblWaterfall_S1[[#This Row],[Amount (tCO2e)]]/tblTarget[Required Reduction (tCO2e)])))</f>
        <v>0.56573402100616821</v>
      </c>
      <c r="S18" s="36" t="str" cm="1">
        <f t="array" ref="S18">IF(tblWaterfall_S1[[#This Row],[Waterfall Category]]="","",INDEX(tblDecarbLevers_S1[Scope],tblWaterfall_S1[[#This Row],[Sequence]]))</f>
        <v>Scope 2</v>
      </c>
    </row>
    <row r="19" spans="1:19" ht="15" customHeight="1" x14ac:dyDescent="0.25">
      <c r="A19" s="69" t="str" cm="1">
        <f t="array" ref="A19">IF(tblDecarbLevers_S1[[#This Row],[Lever Name]]="","","L"&amp;TEXT(ROW()-ROW(tblDecarbLevers_S1[#Headers]),"000"))</f>
        <v/>
      </c>
      <c r="B19" s="70"/>
      <c r="C19" s="61"/>
      <c r="D19" s="70"/>
      <c r="E19" s="62"/>
      <c r="F19" s="63"/>
      <c r="G19" s="64" cm="1">
        <f t="array" ref="G19">IF(tblDecarbLevers_S1[[#This Row],[Lever Name]]="",0,MAX(0,SUMPRODUCT(IF(((tblActivity[Scope]=tblDecarbLevers_S1[[#This Row],[Scope]])+(tblDecarbLevers_S1[[#This Row],[Scope]]="Scope 1 and 2")&gt;0)*((tblActivity[Source]=tblDecarbLevers_S1[[#This Row],[Emission Source]])+(tblDecarbLevers_S1[[#This Row],[Emission Source]]="All Sources")+((tblDecarbLevers_S1[[#This Row],[Emission Source]]="Liquid Fuels")*((tblActivity[Source]="Petrol")+(tblActivity[Source]="Diesel")))+((tblDecarbLevers_S1[[#This Row],[Emission Source]]="Heat &amp; Steam")*((tblActivity[Source]="Purchased Heating")+(tblActivity[Source]="Purchased Steam")))&gt;0),tblActivity[tCO2e],0))-tblDecarbLevers_S1[[#This Row],[Less: Claimed by Earlier Levers (tCO2e)]]))</f>
        <v>0</v>
      </c>
      <c r="H19" s="64" cm="1">
        <f t="array" ref="H19">_xlfn.LET(_xlpm.k,ROW()-ROW(tblDecarbLevers_S1[#Headers]),IF(OR(tblDecarbLevers_S1[[#This Row],[Lever Name]]="",_xlpm.k=1),0,_xlfn.LET(_xlpm.rScope,INDEX(tblDecarbLevers_S1[Scope],1):INDEX(tblDecarbLevers_S1[Scope],_xlpm.k-1),_xlpm.rSource,INDEX(tblDecarbLevers_S1[Emission Source],1):INDEX(tblDecarbLevers_S1[Emission Source],_xlpm.k-1),_xlpm.rImpact,INDEX(tblDecarbLevers_S1[Calculated Impact (tCO2e)],1):INDEX(tblDecarbLevers_S1[Calculated Impact (tCO2e)],_xlpm.k-1),SUMPRODUCT(((_xlpm.rScope=tblDecarbLevers_S1[[#This Row],[Scope]])+(tblDecarbLevers_S1[[#This Row],[Scope]]="Scope 1 and 2")+(_xlpm.rScope="Scope 1 and 2")&gt;0)*((_xlpm.rSource=tblDecarbLevers_S1[[#This Row],[Emission Source]])+(tblDecarbLevers_S1[[#This Row],[Emission Source]]="All Sources")+(_xlpm.rSource="All Sources")+((tblDecarbLevers_S1[[#This Row],[Emission Source]]="Liquid Fuels")*((_xlpm.rSource="Petrol")+(_xlpm.rSource="Diesel")))+((_xlpm.rSource="Liquid Fuels")*((tblDecarbLevers_S1[[#This Row],[Emission Source]]="Petrol")+(tblDecarbLevers_S1[[#This Row],[Emission Source]]="Diesel")))+((tblDecarbLevers_S1[[#This Row],[Emission Source]]="Heat &amp; Steam")*((_xlpm.rSource="Purchased Heating")+(_xlpm.rSource="Purchased Steam")))+((_xlpm.rSource="Heat &amp; Steam")*((tblDecarbLevers_S1[[#This Row],[Emission Source]]="Purchased Heating")+(tblDecarbLevers_S1[[#This Row],[Emission Source]]="Purchased Steam")))&gt;0)*_xlpm.rImpact))))</f>
        <v>0</v>
      </c>
      <c r="I19" s="65">
        <f>IF(OR(tblDecarbLevers_S1[[#This Row],[Lever Name]]="",tblDecarbLevers_S1[[#This Row],[Impact Unit]]=""),0,IF(tblDecarbLevers_S1[[#This Row],[Impact Unit]]="Percentage",tblDecarbLevers_S1[[#This Row],[Applicable Baseline Emissions (tCO2e)]]*N(tblDecarbLevers_S1[[#This Row],[Impact Input]])/100,MIN(N(tblDecarbLevers_S1[[#This Row],[Impact Input]]),tblDecarbLevers_S1[[#This Row],[Applicable Baseline Emissions (tCO2e)]])))</f>
        <v>0</v>
      </c>
      <c r="J19" s="71" cm="1">
        <f t="array" ref="J19">IF(OR(tblDecarbLevers_S1[[#This Row],[Lever Name]]="",tblTarget[Required Reduction (tCO2e)]&lt;=0),0,tblDecarbLevers_S1[[#This Row],[Calculated Impact (tCO2e)]]/tblTarget[Required Reduction (tCO2e)])</f>
        <v>0</v>
      </c>
      <c r="K19" s="65" cm="1">
        <f t="array" ref="K19">IF(tblDecarbLevers_S1[[#This Row],[Lever Name]]="",0,ROUND(tblTarget[Baseline Emissions (tCO2e)]-SUM(INDEX(tblDecarbLevers_S1[Calculated Impact (tCO2e)],1):tblDecarbLevers_S1[[#This Row],[Calculated Impact (tCO2e)]]),6))</f>
        <v>0</v>
      </c>
      <c r="L19" s="68"/>
      <c r="N19" s="41">
        <v>5</v>
      </c>
      <c r="O19" s="44" t="str" cm="1">
        <f t="array" ref="O19">IF(INDEX(tblDecarbLevers_S1[Lever Name],tblWaterfall_S1[[#This Row],[Sequence]])="","",INDEX(tblDecarbLevers_S1[Lever Name],tblWaterfall_S1[[#This Row],[Sequence]]))</f>
        <v/>
      </c>
      <c r="P19" s="36" t="str" cm="1">
        <f t="array" ref="P19">IF(tblWaterfall_S1[[#This Row],[Waterfall Category]]="","",IF(INDEX(tblDecarbLevers_S1[Calculated Impact (tCO2e)],tblWaterfall_S1[[#This Row],[Sequence]])&lt;0,"Emission Increase","Reduction Lever"))</f>
        <v/>
      </c>
      <c r="Q19" s="50" t="str" cm="1">
        <f t="array" ref="Q19">IF(tblWaterfall_S1[[#This Row],[Waterfall Category]]="","",-INDEX(tblDecarbLevers_S1[Calculated Impact (tCO2e)],tblWaterfall_S1[[#This Row],[Sequence]]))</f>
        <v/>
      </c>
      <c r="R19" s="51" t="str" cm="1">
        <f t="array" ref="R19">IF(tblWaterfall_S1[[#This Row],[Waterfall Category]]="","",IF(OR(tblWaterfall_S1[[#This Row],[Waterfall Type]]="Baseline",tblWaterfall_S1[[#This Row],[Waterfall Type]]="Planned Residual",tblWaterfall_S1[[#This Row],[Waterfall Type]]="Target"),0,IF(tblTarget[Required Reduction (tCO2e)]&lt;=0,0,-tblWaterfall_S1[[#This Row],[Amount (tCO2e)]]/tblTarget[Required Reduction (tCO2e)])))</f>
        <v/>
      </c>
      <c r="S19" s="36" t="str" cm="1">
        <f t="array" ref="S19">IF(tblWaterfall_S1[[#This Row],[Waterfall Category]]="","",INDEX(tblDecarbLevers_S1[Scope],tblWaterfall_S1[[#This Row],[Sequence]]))</f>
        <v/>
      </c>
    </row>
    <row r="20" spans="1:19" ht="15" customHeight="1" x14ac:dyDescent="0.25">
      <c r="A20" s="69" t="str" cm="1">
        <f t="array" ref="A20">IF(tblDecarbLevers_S1[[#This Row],[Lever Name]]="","","L"&amp;TEXT(ROW()-ROW(tblDecarbLevers_S1[#Headers]),"000"))</f>
        <v/>
      </c>
      <c r="B20" s="70"/>
      <c r="C20" s="61"/>
      <c r="D20" s="70"/>
      <c r="E20" s="62"/>
      <c r="F20" s="63"/>
      <c r="G20" s="64" cm="1">
        <f t="array" ref="G20">IF(tblDecarbLevers_S1[[#This Row],[Lever Name]]="",0,MAX(0,SUMPRODUCT(IF(((tblActivity[Scope]=tblDecarbLevers_S1[[#This Row],[Scope]])+(tblDecarbLevers_S1[[#This Row],[Scope]]="Scope 1 and 2")&gt;0)*((tblActivity[Source]=tblDecarbLevers_S1[[#This Row],[Emission Source]])+(tblDecarbLevers_S1[[#This Row],[Emission Source]]="All Sources")+((tblDecarbLevers_S1[[#This Row],[Emission Source]]="Liquid Fuels")*((tblActivity[Source]="Petrol")+(tblActivity[Source]="Diesel")))+((tblDecarbLevers_S1[[#This Row],[Emission Source]]="Heat &amp; Steam")*((tblActivity[Source]="Purchased Heating")+(tblActivity[Source]="Purchased Steam")))&gt;0),tblActivity[tCO2e],0))-tblDecarbLevers_S1[[#This Row],[Less: Claimed by Earlier Levers (tCO2e)]]))</f>
        <v>0</v>
      </c>
      <c r="H20" s="64" cm="1">
        <f t="array" ref="H20">_xlfn.LET(_xlpm.k,ROW()-ROW(tblDecarbLevers_S1[#Headers]),IF(OR(tblDecarbLevers_S1[[#This Row],[Lever Name]]="",_xlpm.k=1),0,_xlfn.LET(_xlpm.rScope,INDEX(tblDecarbLevers_S1[Scope],1):INDEX(tblDecarbLevers_S1[Scope],_xlpm.k-1),_xlpm.rSource,INDEX(tblDecarbLevers_S1[Emission Source],1):INDEX(tblDecarbLevers_S1[Emission Source],_xlpm.k-1),_xlpm.rImpact,INDEX(tblDecarbLevers_S1[Calculated Impact (tCO2e)],1):INDEX(tblDecarbLevers_S1[Calculated Impact (tCO2e)],_xlpm.k-1),SUMPRODUCT(((_xlpm.rScope=tblDecarbLevers_S1[[#This Row],[Scope]])+(tblDecarbLevers_S1[[#This Row],[Scope]]="Scope 1 and 2")+(_xlpm.rScope="Scope 1 and 2")&gt;0)*((_xlpm.rSource=tblDecarbLevers_S1[[#This Row],[Emission Source]])+(tblDecarbLevers_S1[[#This Row],[Emission Source]]="All Sources")+(_xlpm.rSource="All Sources")+((tblDecarbLevers_S1[[#This Row],[Emission Source]]="Liquid Fuels")*((_xlpm.rSource="Petrol")+(_xlpm.rSource="Diesel")))+((_xlpm.rSource="Liquid Fuels")*((tblDecarbLevers_S1[[#This Row],[Emission Source]]="Petrol")+(tblDecarbLevers_S1[[#This Row],[Emission Source]]="Diesel")))+((tblDecarbLevers_S1[[#This Row],[Emission Source]]="Heat &amp; Steam")*((_xlpm.rSource="Purchased Heating")+(_xlpm.rSource="Purchased Steam")))+((_xlpm.rSource="Heat &amp; Steam")*((tblDecarbLevers_S1[[#This Row],[Emission Source]]="Purchased Heating")+(tblDecarbLevers_S1[[#This Row],[Emission Source]]="Purchased Steam")))&gt;0)*_xlpm.rImpact))))</f>
        <v>0</v>
      </c>
      <c r="I20" s="65">
        <f>IF(OR(tblDecarbLevers_S1[[#This Row],[Lever Name]]="",tblDecarbLevers_S1[[#This Row],[Impact Unit]]=""),0,IF(tblDecarbLevers_S1[[#This Row],[Impact Unit]]="Percentage",tblDecarbLevers_S1[[#This Row],[Applicable Baseline Emissions (tCO2e)]]*N(tblDecarbLevers_S1[[#This Row],[Impact Input]])/100,MIN(N(tblDecarbLevers_S1[[#This Row],[Impact Input]]),tblDecarbLevers_S1[[#This Row],[Applicable Baseline Emissions (tCO2e)]])))</f>
        <v>0</v>
      </c>
      <c r="J20" s="71" cm="1">
        <f t="array" ref="J20">IF(OR(tblDecarbLevers_S1[[#This Row],[Lever Name]]="",tblTarget[Required Reduction (tCO2e)]&lt;=0),0,tblDecarbLevers_S1[[#This Row],[Calculated Impact (tCO2e)]]/tblTarget[Required Reduction (tCO2e)])</f>
        <v>0</v>
      </c>
      <c r="K20" s="65" cm="1">
        <f t="array" ref="K20">IF(tblDecarbLevers_S1[[#This Row],[Lever Name]]="",0,ROUND(tblTarget[Baseline Emissions (tCO2e)]-SUM(INDEX(tblDecarbLevers_S1[Calculated Impact (tCO2e)],1):tblDecarbLevers_S1[[#This Row],[Calculated Impact (tCO2e)]]),6))</f>
        <v>0</v>
      </c>
      <c r="L20" s="68"/>
      <c r="N20" s="41">
        <v>6</v>
      </c>
      <c r="O20" s="44" t="str" cm="1">
        <f t="array" ref="O20">IF(INDEX(tblDecarbLevers_S1[Lever Name],tblWaterfall_S1[[#This Row],[Sequence]])="","",INDEX(tblDecarbLevers_S1[Lever Name],tblWaterfall_S1[[#This Row],[Sequence]]))</f>
        <v/>
      </c>
      <c r="P20" s="36" t="str" cm="1">
        <f t="array" ref="P20">IF(tblWaterfall_S1[[#This Row],[Waterfall Category]]="","",IF(INDEX(tblDecarbLevers_S1[Calculated Impact (tCO2e)],tblWaterfall_S1[[#This Row],[Sequence]])&lt;0,"Emission Increase","Reduction Lever"))</f>
        <v/>
      </c>
      <c r="Q20" s="50" t="str" cm="1">
        <f t="array" ref="Q20">IF(tblWaterfall_S1[[#This Row],[Waterfall Category]]="","",-INDEX(tblDecarbLevers_S1[Calculated Impact (tCO2e)],tblWaterfall_S1[[#This Row],[Sequence]]))</f>
        <v/>
      </c>
      <c r="R20" s="51" t="str" cm="1">
        <f t="array" ref="R20">IF(tblWaterfall_S1[[#This Row],[Waterfall Category]]="","",IF(OR(tblWaterfall_S1[[#This Row],[Waterfall Type]]="Baseline",tblWaterfall_S1[[#This Row],[Waterfall Type]]="Planned Residual",tblWaterfall_S1[[#This Row],[Waterfall Type]]="Target"),0,IF(tblTarget[Required Reduction (tCO2e)]&lt;=0,0,-tblWaterfall_S1[[#This Row],[Amount (tCO2e)]]/tblTarget[Required Reduction (tCO2e)])))</f>
        <v/>
      </c>
      <c r="S20" s="36" t="str" cm="1">
        <f t="array" ref="S20">IF(tblWaterfall_S1[[#This Row],[Waterfall Category]]="","",INDEX(tblDecarbLevers_S1[Scope],tblWaterfall_S1[[#This Row],[Sequence]]))</f>
        <v/>
      </c>
    </row>
    <row r="21" spans="1:19" ht="15" customHeight="1" x14ac:dyDescent="0.25">
      <c r="A21" s="69" t="str" cm="1">
        <f t="array" ref="A21">IF(tblDecarbLevers_S1[[#This Row],[Lever Name]]="","","L"&amp;TEXT(ROW()-ROW(tblDecarbLevers_S1[#Headers]),"000"))</f>
        <v/>
      </c>
      <c r="B21" s="70"/>
      <c r="C21" s="61"/>
      <c r="D21" s="70"/>
      <c r="E21" s="62"/>
      <c r="F21" s="63"/>
      <c r="G21" s="64" cm="1">
        <f t="array" ref="G21">IF(tblDecarbLevers_S1[[#This Row],[Lever Name]]="",0,MAX(0,SUMPRODUCT(IF(((tblActivity[Scope]=tblDecarbLevers_S1[[#This Row],[Scope]])+(tblDecarbLevers_S1[[#This Row],[Scope]]="Scope 1 and 2")&gt;0)*((tblActivity[Source]=tblDecarbLevers_S1[[#This Row],[Emission Source]])+(tblDecarbLevers_S1[[#This Row],[Emission Source]]="All Sources")+((tblDecarbLevers_S1[[#This Row],[Emission Source]]="Liquid Fuels")*((tblActivity[Source]="Petrol")+(tblActivity[Source]="Diesel")))+((tblDecarbLevers_S1[[#This Row],[Emission Source]]="Heat &amp; Steam")*((tblActivity[Source]="Purchased Heating")+(tblActivity[Source]="Purchased Steam")))&gt;0),tblActivity[tCO2e],0))-tblDecarbLevers_S1[[#This Row],[Less: Claimed by Earlier Levers (tCO2e)]]))</f>
        <v>0</v>
      </c>
      <c r="H21" s="64" cm="1">
        <f t="array" ref="H21">_xlfn.LET(_xlpm.k,ROW()-ROW(tblDecarbLevers_S1[#Headers]),IF(OR(tblDecarbLevers_S1[[#This Row],[Lever Name]]="",_xlpm.k=1),0,_xlfn.LET(_xlpm.rScope,INDEX(tblDecarbLevers_S1[Scope],1):INDEX(tblDecarbLevers_S1[Scope],_xlpm.k-1),_xlpm.rSource,INDEX(tblDecarbLevers_S1[Emission Source],1):INDEX(tblDecarbLevers_S1[Emission Source],_xlpm.k-1),_xlpm.rImpact,INDEX(tblDecarbLevers_S1[Calculated Impact (tCO2e)],1):INDEX(tblDecarbLevers_S1[Calculated Impact (tCO2e)],_xlpm.k-1),SUMPRODUCT(((_xlpm.rScope=tblDecarbLevers_S1[[#This Row],[Scope]])+(tblDecarbLevers_S1[[#This Row],[Scope]]="Scope 1 and 2")+(_xlpm.rScope="Scope 1 and 2")&gt;0)*((_xlpm.rSource=tblDecarbLevers_S1[[#This Row],[Emission Source]])+(tblDecarbLevers_S1[[#This Row],[Emission Source]]="All Sources")+(_xlpm.rSource="All Sources")+((tblDecarbLevers_S1[[#This Row],[Emission Source]]="Liquid Fuels")*((_xlpm.rSource="Petrol")+(_xlpm.rSource="Diesel")))+((_xlpm.rSource="Liquid Fuels")*((tblDecarbLevers_S1[[#This Row],[Emission Source]]="Petrol")+(tblDecarbLevers_S1[[#This Row],[Emission Source]]="Diesel")))+((tblDecarbLevers_S1[[#This Row],[Emission Source]]="Heat &amp; Steam")*((_xlpm.rSource="Purchased Heating")+(_xlpm.rSource="Purchased Steam")))+((_xlpm.rSource="Heat &amp; Steam")*((tblDecarbLevers_S1[[#This Row],[Emission Source]]="Purchased Heating")+(tblDecarbLevers_S1[[#This Row],[Emission Source]]="Purchased Steam")))&gt;0)*_xlpm.rImpact))))</f>
        <v>0</v>
      </c>
      <c r="I21" s="65">
        <f>IF(OR(tblDecarbLevers_S1[[#This Row],[Lever Name]]="",tblDecarbLevers_S1[[#This Row],[Impact Unit]]=""),0,IF(tblDecarbLevers_S1[[#This Row],[Impact Unit]]="Percentage",tblDecarbLevers_S1[[#This Row],[Applicable Baseline Emissions (tCO2e)]]*N(tblDecarbLevers_S1[[#This Row],[Impact Input]])/100,MIN(N(tblDecarbLevers_S1[[#This Row],[Impact Input]]),tblDecarbLevers_S1[[#This Row],[Applicable Baseline Emissions (tCO2e)]])))</f>
        <v>0</v>
      </c>
      <c r="J21" s="71" cm="1">
        <f t="array" ref="J21">IF(OR(tblDecarbLevers_S1[[#This Row],[Lever Name]]="",tblTarget[Required Reduction (tCO2e)]&lt;=0),0,tblDecarbLevers_S1[[#This Row],[Calculated Impact (tCO2e)]]/tblTarget[Required Reduction (tCO2e)])</f>
        <v>0</v>
      </c>
      <c r="K21" s="65" cm="1">
        <f t="array" ref="K21">IF(tblDecarbLevers_S1[[#This Row],[Lever Name]]="",0,ROUND(tblTarget[Baseline Emissions (tCO2e)]-SUM(INDEX(tblDecarbLevers_S1[Calculated Impact (tCO2e)],1):tblDecarbLevers_S1[[#This Row],[Calculated Impact (tCO2e)]]),6))</f>
        <v>0</v>
      </c>
      <c r="L21" s="68"/>
      <c r="N21" s="41">
        <v>7</v>
      </c>
      <c r="O21" s="44" t="str" cm="1">
        <f t="array" ref="O21">IF(INDEX(tblDecarbLevers_S1[Lever Name],tblWaterfall_S1[[#This Row],[Sequence]])="","",INDEX(tblDecarbLevers_S1[Lever Name],tblWaterfall_S1[[#This Row],[Sequence]]))</f>
        <v/>
      </c>
      <c r="P21" s="36" t="str" cm="1">
        <f t="array" ref="P21">IF(tblWaterfall_S1[[#This Row],[Waterfall Category]]="","",IF(INDEX(tblDecarbLevers_S1[Calculated Impact (tCO2e)],tblWaterfall_S1[[#This Row],[Sequence]])&lt;0,"Emission Increase","Reduction Lever"))</f>
        <v/>
      </c>
      <c r="Q21" s="50" t="str" cm="1">
        <f t="array" ref="Q21">IF(tblWaterfall_S1[[#This Row],[Waterfall Category]]="","",-INDEX(tblDecarbLevers_S1[Calculated Impact (tCO2e)],tblWaterfall_S1[[#This Row],[Sequence]]))</f>
        <v/>
      </c>
      <c r="R21" s="51" t="str" cm="1">
        <f t="array" ref="R21">IF(tblWaterfall_S1[[#This Row],[Waterfall Category]]="","",IF(OR(tblWaterfall_S1[[#This Row],[Waterfall Type]]="Baseline",tblWaterfall_S1[[#This Row],[Waterfall Type]]="Planned Residual",tblWaterfall_S1[[#This Row],[Waterfall Type]]="Target"),0,IF(tblTarget[Required Reduction (tCO2e)]&lt;=0,0,-tblWaterfall_S1[[#This Row],[Amount (tCO2e)]]/tblTarget[Required Reduction (tCO2e)])))</f>
        <v/>
      </c>
      <c r="S21" s="36" t="str" cm="1">
        <f t="array" ref="S21">IF(tblWaterfall_S1[[#This Row],[Waterfall Category]]="","",INDEX(tblDecarbLevers_S1[Scope],tblWaterfall_S1[[#This Row],[Sequence]]))</f>
        <v/>
      </c>
    </row>
    <row r="22" spans="1:19" ht="15" customHeight="1" x14ac:dyDescent="0.25">
      <c r="A22" s="69" t="str" cm="1">
        <f t="array" ref="A22">IF(tblDecarbLevers_S1[[#This Row],[Lever Name]]="","","L"&amp;TEXT(ROW()-ROW(tblDecarbLevers_S1[#Headers]),"000"))</f>
        <v/>
      </c>
      <c r="B22" s="70"/>
      <c r="C22" s="61"/>
      <c r="D22" s="70"/>
      <c r="E22" s="62"/>
      <c r="F22" s="63"/>
      <c r="G22" s="64" cm="1">
        <f t="array" ref="G22">IF(tblDecarbLevers_S1[[#This Row],[Lever Name]]="",0,MAX(0,SUMPRODUCT(IF(((tblActivity[Scope]=tblDecarbLevers_S1[[#This Row],[Scope]])+(tblDecarbLevers_S1[[#This Row],[Scope]]="Scope 1 and 2")&gt;0)*((tblActivity[Source]=tblDecarbLevers_S1[[#This Row],[Emission Source]])+(tblDecarbLevers_S1[[#This Row],[Emission Source]]="All Sources")+((tblDecarbLevers_S1[[#This Row],[Emission Source]]="Liquid Fuels")*((tblActivity[Source]="Petrol")+(tblActivity[Source]="Diesel")))+((tblDecarbLevers_S1[[#This Row],[Emission Source]]="Heat &amp; Steam")*((tblActivity[Source]="Purchased Heating")+(tblActivity[Source]="Purchased Steam")))&gt;0),tblActivity[tCO2e],0))-tblDecarbLevers_S1[[#This Row],[Less: Claimed by Earlier Levers (tCO2e)]]))</f>
        <v>0</v>
      </c>
      <c r="H22" s="64" cm="1">
        <f t="array" ref="H22">_xlfn.LET(_xlpm.k,ROW()-ROW(tblDecarbLevers_S1[#Headers]),IF(OR(tblDecarbLevers_S1[[#This Row],[Lever Name]]="",_xlpm.k=1),0,_xlfn.LET(_xlpm.rScope,INDEX(tblDecarbLevers_S1[Scope],1):INDEX(tblDecarbLevers_S1[Scope],_xlpm.k-1),_xlpm.rSource,INDEX(tblDecarbLevers_S1[Emission Source],1):INDEX(tblDecarbLevers_S1[Emission Source],_xlpm.k-1),_xlpm.rImpact,INDEX(tblDecarbLevers_S1[Calculated Impact (tCO2e)],1):INDEX(tblDecarbLevers_S1[Calculated Impact (tCO2e)],_xlpm.k-1),SUMPRODUCT(((_xlpm.rScope=tblDecarbLevers_S1[[#This Row],[Scope]])+(tblDecarbLevers_S1[[#This Row],[Scope]]="Scope 1 and 2")+(_xlpm.rScope="Scope 1 and 2")&gt;0)*((_xlpm.rSource=tblDecarbLevers_S1[[#This Row],[Emission Source]])+(tblDecarbLevers_S1[[#This Row],[Emission Source]]="All Sources")+(_xlpm.rSource="All Sources")+((tblDecarbLevers_S1[[#This Row],[Emission Source]]="Liquid Fuels")*((_xlpm.rSource="Petrol")+(_xlpm.rSource="Diesel")))+((_xlpm.rSource="Liquid Fuels")*((tblDecarbLevers_S1[[#This Row],[Emission Source]]="Petrol")+(tblDecarbLevers_S1[[#This Row],[Emission Source]]="Diesel")))+((tblDecarbLevers_S1[[#This Row],[Emission Source]]="Heat &amp; Steam")*((_xlpm.rSource="Purchased Heating")+(_xlpm.rSource="Purchased Steam")))+((_xlpm.rSource="Heat &amp; Steam")*((tblDecarbLevers_S1[[#This Row],[Emission Source]]="Purchased Heating")+(tblDecarbLevers_S1[[#This Row],[Emission Source]]="Purchased Steam")))&gt;0)*_xlpm.rImpact))))</f>
        <v>0</v>
      </c>
      <c r="I22" s="65">
        <f>IF(OR(tblDecarbLevers_S1[[#This Row],[Lever Name]]="",tblDecarbLevers_S1[[#This Row],[Impact Unit]]=""),0,IF(tblDecarbLevers_S1[[#This Row],[Impact Unit]]="Percentage",tblDecarbLevers_S1[[#This Row],[Applicable Baseline Emissions (tCO2e)]]*N(tblDecarbLevers_S1[[#This Row],[Impact Input]])/100,MIN(N(tblDecarbLevers_S1[[#This Row],[Impact Input]]),tblDecarbLevers_S1[[#This Row],[Applicable Baseline Emissions (tCO2e)]])))</f>
        <v>0</v>
      </c>
      <c r="J22" s="71" cm="1">
        <f t="array" ref="J22">IF(OR(tblDecarbLevers_S1[[#This Row],[Lever Name]]="",tblTarget[Required Reduction (tCO2e)]&lt;=0),0,tblDecarbLevers_S1[[#This Row],[Calculated Impact (tCO2e)]]/tblTarget[Required Reduction (tCO2e)])</f>
        <v>0</v>
      </c>
      <c r="K22" s="65" cm="1">
        <f t="array" ref="K22">IF(tblDecarbLevers_S1[[#This Row],[Lever Name]]="",0,ROUND(tblTarget[Baseline Emissions (tCO2e)]-SUM(INDEX(tblDecarbLevers_S1[Calculated Impact (tCO2e)],1):tblDecarbLevers_S1[[#This Row],[Calculated Impact (tCO2e)]]),6))</f>
        <v>0</v>
      </c>
      <c r="L22" s="68"/>
      <c r="N22" s="41">
        <v>8</v>
      </c>
      <c r="O22" s="44" t="str" cm="1">
        <f t="array" ref="O22">IF(INDEX(tblDecarbLevers_S1[Lever Name],tblWaterfall_S1[[#This Row],[Sequence]])="","",INDEX(tblDecarbLevers_S1[Lever Name],tblWaterfall_S1[[#This Row],[Sequence]]))</f>
        <v/>
      </c>
      <c r="P22" s="36" t="str" cm="1">
        <f t="array" ref="P22">IF(tblWaterfall_S1[[#This Row],[Waterfall Category]]="","",IF(INDEX(tblDecarbLevers_S1[Calculated Impact (tCO2e)],tblWaterfall_S1[[#This Row],[Sequence]])&lt;0,"Emission Increase","Reduction Lever"))</f>
        <v/>
      </c>
      <c r="Q22" s="50" t="str" cm="1">
        <f t="array" ref="Q22">IF(tblWaterfall_S1[[#This Row],[Waterfall Category]]="","",-INDEX(tblDecarbLevers_S1[Calculated Impact (tCO2e)],tblWaterfall_S1[[#This Row],[Sequence]]))</f>
        <v/>
      </c>
      <c r="R22" s="51" t="str" cm="1">
        <f t="array" ref="R22">IF(tblWaterfall_S1[[#This Row],[Waterfall Category]]="","",IF(OR(tblWaterfall_S1[[#This Row],[Waterfall Type]]="Baseline",tblWaterfall_S1[[#This Row],[Waterfall Type]]="Planned Residual",tblWaterfall_S1[[#This Row],[Waterfall Type]]="Target"),0,IF(tblTarget[Required Reduction (tCO2e)]&lt;=0,0,-tblWaterfall_S1[[#This Row],[Amount (tCO2e)]]/tblTarget[Required Reduction (tCO2e)])))</f>
        <v/>
      </c>
      <c r="S22" s="36" t="str" cm="1">
        <f t="array" ref="S22">IF(tblWaterfall_S1[[#This Row],[Waterfall Category]]="","",INDEX(tblDecarbLevers_S1[Scope],tblWaterfall_S1[[#This Row],[Sequence]]))</f>
        <v/>
      </c>
    </row>
    <row r="23" spans="1:19" ht="15" customHeight="1" x14ac:dyDescent="0.25">
      <c r="A23" s="69" t="str" cm="1">
        <f t="array" ref="A23">IF(tblDecarbLevers_S1[[#This Row],[Lever Name]]="","","L"&amp;TEXT(ROW()-ROW(tblDecarbLevers_S1[#Headers]),"000"))</f>
        <v/>
      </c>
      <c r="B23" s="70"/>
      <c r="C23" s="61"/>
      <c r="D23" s="70"/>
      <c r="E23" s="62"/>
      <c r="F23" s="63"/>
      <c r="G23" s="64" cm="1">
        <f t="array" ref="G23">IF(tblDecarbLevers_S1[[#This Row],[Lever Name]]="",0,MAX(0,SUMPRODUCT(IF(((tblActivity[Scope]=tblDecarbLevers_S1[[#This Row],[Scope]])+(tblDecarbLevers_S1[[#This Row],[Scope]]="Scope 1 and 2")&gt;0)*((tblActivity[Source]=tblDecarbLevers_S1[[#This Row],[Emission Source]])+(tblDecarbLevers_S1[[#This Row],[Emission Source]]="All Sources")+((tblDecarbLevers_S1[[#This Row],[Emission Source]]="Liquid Fuels")*((tblActivity[Source]="Petrol")+(tblActivity[Source]="Diesel")))+((tblDecarbLevers_S1[[#This Row],[Emission Source]]="Heat &amp; Steam")*((tblActivity[Source]="Purchased Heating")+(tblActivity[Source]="Purchased Steam")))&gt;0),tblActivity[tCO2e],0))-tblDecarbLevers_S1[[#This Row],[Less: Claimed by Earlier Levers (tCO2e)]]))</f>
        <v>0</v>
      </c>
      <c r="H23" s="64" cm="1">
        <f t="array" ref="H23">_xlfn.LET(_xlpm.k,ROW()-ROW(tblDecarbLevers_S1[#Headers]),IF(OR(tblDecarbLevers_S1[[#This Row],[Lever Name]]="",_xlpm.k=1),0,_xlfn.LET(_xlpm.rScope,INDEX(tblDecarbLevers_S1[Scope],1):INDEX(tblDecarbLevers_S1[Scope],_xlpm.k-1),_xlpm.rSource,INDEX(tblDecarbLevers_S1[Emission Source],1):INDEX(tblDecarbLevers_S1[Emission Source],_xlpm.k-1),_xlpm.rImpact,INDEX(tblDecarbLevers_S1[Calculated Impact (tCO2e)],1):INDEX(tblDecarbLevers_S1[Calculated Impact (tCO2e)],_xlpm.k-1),SUMPRODUCT(((_xlpm.rScope=tblDecarbLevers_S1[[#This Row],[Scope]])+(tblDecarbLevers_S1[[#This Row],[Scope]]="Scope 1 and 2")+(_xlpm.rScope="Scope 1 and 2")&gt;0)*((_xlpm.rSource=tblDecarbLevers_S1[[#This Row],[Emission Source]])+(tblDecarbLevers_S1[[#This Row],[Emission Source]]="All Sources")+(_xlpm.rSource="All Sources")+((tblDecarbLevers_S1[[#This Row],[Emission Source]]="Liquid Fuels")*((_xlpm.rSource="Petrol")+(_xlpm.rSource="Diesel")))+((_xlpm.rSource="Liquid Fuels")*((tblDecarbLevers_S1[[#This Row],[Emission Source]]="Petrol")+(tblDecarbLevers_S1[[#This Row],[Emission Source]]="Diesel")))+((tblDecarbLevers_S1[[#This Row],[Emission Source]]="Heat &amp; Steam")*((_xlpm.rSource="Purchased Heating")+(_xlpm.rSource="Purchased Steam")))+((_xlpm.rSource="Heat &amp; Steam")*((tblDecarbLevers_S1[[#This Row],[Emission Source]]="Purchased Heating")+(tblDecarbLevers_S1[[#This Row],[Emission Source]]="Purchased Steam")))&gt;0)*_xlpm.rImpact))))</f>
        <v>0</v>
      </c>
      <c r="I23" s="65">
        <f>IF(OR(tblDecarbLevers_S1[[#This Row],[Lever Name]]="",tblDecarbLevers_S1[[#This Row],[Impact Unit]]=""),0,IF(tblDecarbLevers_S1[[#This Row],[Impact Unit]]="Percentage",tblDecarbLevers_S1[[#This Row],[Applicable Baseline Emissions (tCO2e)]]*N(tblDecarbLevers_S1[[#This Row],[Impact Input]])/100,MIN(N(tblDecarbLevers_S1[[#This Row],[Impact Input]]),tblDecarbLevers_S1[[#This Row],[Applicable Baseline Emissions (tCO2e)]])))</f>
        <v>0</v>
      </c>
      <c r="J23" s="71" cm="1">
        <f t="array" ref="J23">IF(OR(tblDecarbLevers_S1[[#This Row],[Lever Name]]="",tblTarget[Required Reduction (tCO2e)]&lt;=0),0,tblDecarbLevers_S1[[#This Row],[Calculated Impact (tCO2e)]]/tblTarget[Required Reduction (tCO2e)])</f>
        <v>0</v>
      </c>
      <c r="K23" s="65" cm="1">
        <f t="array" ref="K23">IF(tblDecarbLevers_S1[[#This Row],[Lever Name]]="",0,ROUND(tblTarget[Baseline Emissions (tCO2e)]-SUM(INDEX(tblDecarbLevers_S1[Calculated Impact (tCO2e)],1):tblDecarbLevers_S1[[#This Row],[Calculated Impact (tCO2e)]]),6))</f>
        <v>0</v>
      </c>
      <c r="L23" s="68"/>
      <c r="N23" s="41">
        <v>9</v>
      </c>
      <c r="O23" s="44" t="str" cm="1">
        <f t="array" ref="O23">IF(INDEX(tblDecarbLevers_S1[Lever Name],tblWaterfall_S1[[#This Row],[Sequence]])="","",INDEX(tblDecarbLevers_S1[Lever Name],tblWaterfall_S1[[#This Row],[Sequence]]))</f>
        <v/>
      </c>
      <c r="P23" s="36" t="str" cm="1">
        <f t="array" ref="P23">IF(tblWaterfall_S1[[#This Row],[Waterfall Category]]="","",IF(INDEX(tblDecarbLevers_S1[Calculated Impact (tCO2e)],tblWaterfall_S1[[#This Row],[Sequence]])&lt;0,"Emission Increase","Reduction Lever"))</f>
        <v/>
      </c>
      <c r="Q23" s="50" t="str" cm="1">
        <f t="array" ref="Q23">IF(tblWaterfall_S1[[#This Row],[Waterfall Category]]="","",-INDEX(tblDecarbLevers_S1[Calculated Impact (tCO2e)],tblWaterfall_S1[[#This Row],[Sequence]]))</f>
        <v/>
      </c>
      <c r="R23" s="51" t="str" cm="1">
        <f t="array" ref="R23">IF(tblWaterfall_S1[[#This Row],[Waterfall Category]]="","",IF(OR(tblWaterfall_S1[[#This Row],[Waterfall Type]]="Baseline",tblWaterfall_S1[[#This Row],[Waterfall Type]]="Planned Residual",tblWaterfall_S1[[#This Row],[Waterfall Type]]="Target"),0,IF(tblTarget[Required Reduction (tCO2e)]&lt;=0,0,-tblWaterfall_S1[[#This Row],[Amount (tCO2e)]]/tblTarget[Required Reduction (tCO2e)])))</f>
        <v/>
      </c>
      <c r="S23" s="36" t="str" cm="1">
        <f t="array" ref="S23">IF(tblWaterfall_S1[[#This Row],[Waterfall Category]]="","",INDEX(tblDecarbLevers_S1[Scope],tblWaterfall_S1[[#This Row],[Sequence]]))</f>
        <v/>
      </c>
    </row>
    <row r="24" spans="1:19" ht="15" customHeight="1" x14ac:dyDescent="0.25">
      <c r="A24" s="69" t="str" cm="1">
        <f t="array" ref="A24">IF(tblDecarbLevers_S1[[#This Row],[Lever Name]]="","","L"&amp;TEXT(ROW()-ROW(tblDecarbLevers_S1[#Headers]),"000"))</f>
        <v/>
      </c>
      <c r="B24" s="70"/>
      <c r="C24" s="61"/>
      <c r="D24" s="70"/>
      <c r="E24" s="62"/>
      <c r="F24" s="63"/>
      <c r="G24" s="64" cm="1">
        <f t="array" ref="G24">IF(tblDecarbLevers_S1[[#This Row],[Lever Name]]="",0,MAX(0,SUMPRODUCT(IF(((tblActivity[Scope]=tblDecarbLevers_S1[[#This Row],[Scope]])+(tblDecarbLevers_S1[[#This Row],[Scope]]="Scope 1 and 2")&gt;0)*((tblActivity[Source]=tblDecarbLevers_S1[[#This Row],[Emission Source]])+(tblDecarbLevers_S1[[#This Row],[Emission Source]]="All Sources")+((tblDecarbLevers_S1[[#This Row],[Emission Source]]="Liquid Fuels")*((tblActivity[Source]="Petrol")+(tblActivity[Source]="Diesel")))+((tblDecarbLevers_S1[[#This Row],[Emission Source]]="Heat &amp; Steam")*((tblActivity[Source]="Purchased Heating")+(tblActivity[Source]="Purchased Steam")))&gt;0),tblActivity[tCO2e],0))-tblDecarbLevers_S1[[#This Row],[Less: Claimed by Earlier Levers (tCO2e)]]))</f>
        <v>0</v>
      </c>
      <c r="H24" s="64" cm="1">
        <f t="array" ref="H24">_xlfn.LET(_xlpm.k,ROW()-ROW(tblDecarbLevers_S1[#Headers]),IF(OR(tblDecarbLevers_S1[[#This Row],[Lever Name]]="",_xlpm.k=1),0,_xlfn.LET(_xlpm.rScope,INDEX(tblDecarbLevers_S1[Scope],1):INDEX(tblDecarbLevers_S1[Scope],_xlpm.k-1),_xlpm.rSource,INDEX(tblDecarbLevers_S1[Emission Source],1):INDEX(tblDecarbLevers_S1[Emission Source],_xlpm.k-1),_xlpm.rImpact,INDEX(tblDecarbLevers_S1[Calculated Impact (tCO2e)],1):INDEX(tblDecarbLevers_S1[Calculated Impact (tCO2e)],_xlpm.k-1),SUMPRODUCT(((_xlpm.rScope=tblDecarbLevers_S1[[#This Row],[Scope]])+(tblDecarbLevers_S1[[#This Row],[Scope]]="Scope 1 and 2")+(_xlpm.rScope="Scope 1 and 2")&gt;0)*((_xlpm.rSource=tblDecarbLevers_S1[[#This Row],[Emission Source]])+(tblDecarbLevers_S1[[#This Row],[Emission Source]]="All Sources")+(_xlpm.rSource="All Sources")+((tblDecarbLevers_S1[[#This Row],[Emission Source]]="Liquid Fuels")*((_xlpm.rSource="Petrol")+(_xlpm.rSource="Diesel")))+((_xlpm.rSource="Liquid Fuels")*((tblDecarbLevers_S1[[#This Row],[Emission Source]]="Petrol")+(tblDecarbLevers_S1[[#This Row],[Emission Source]]="Diesel")))+((tblDecarbLevers_S1[[#This Row],[Emission Source]]="Heat &amp; Steam")*((_xlpm.rSource="Purchased Heating")+(_xlpm.rSource="Purchased Steam")))+((_xlpm.rSource="Heat &amp; Steam")*((tblDecarbLevers_S1[[#This Row],[Emission Source]]="Purchased Heating")+(tblDecarbLevers_S1[[#This Row],[Emission Source]]="Purchased Steam")))&gt;0)*_xlpm.rImpact))))</f>
        <v>0</v>
      </c>
      <c r="I24" s="65">
        <f>IF(OR(tblDecarbLevers_S1[[#This Row],[Lever Name]]="",tblDecarbLevers_S1[[#This Row],[Impact Unit]]=""),0,IF(tblDecarbLevers_S1[[#This Row],[Impact Unit]]="Percentage",tblDecarbLevers_S1[[#This Row],[Applicable Baseline Emissions (tCO2e)]]*N(tblDecarbLevers_S1[[#This Row],[Impact Input]])/100,MIN(N(tblDecarbLevers_S1[[#This Row],[Impact Input]]),tblDecarbLevers_S1[[#This Row],[Applicable Baseline Emissions (tCO2e)]])))</f>
        <v>0</v>
      </c>
      <c r="J24" s="71" cm="1">
        <f t="array" ref="J24">IF(OR(tblDecarbLevers_S1[[#This Row],[Lever Name]]="",tblTarget[Required Reduction (tCO2e)]&lt;=0),0,tblDecarbLevers_S1[[#This Row],[Calculated Impact (tCO2e)]]/tblTarget[Required Reduction (tCO2e)])</f>
        <v>0</v>
      </c>
      <c r="K24" s="65" cm="1">
        <f t="array" ref="K24">IF(tblDecarbLevers_S1[[#This Row],[Lever Name]]="",0,ROUND(tblTarget[Baseline Emissions (tCO2e)]-SUM(INDEX(tblDecarbLevers_S1[Calculated Impact (tCO2e)],1):tblDecarbLevers_S1[[#This Row],[Calculated Impact (tCO2e)]]),6))</f>
        <v>0</v>
      </c>
      <c r="L24" s="68"/>
      <c r="N24" s="41">
        <v>10</v>
      </c>
      <c r="O24" s="44" t="str" cm="1">
        <f t="array" ref="O24">IF(INDEX(tblDecarbLevers_S1[Lever Name],tblWaterfall_S1[[#This Row],[Sequence]])="","",INDEX(tblDecarbLevers_S1[Lever Name],tblWaterfall_S1[[#This Row],[Sequence]]))</f>
        <v/>
      </c>
      <c r="P24" s="36" t="str" cm="1">
        <f t="array" ref="P24">IF(tblWaterfall_S1[[#This Row],[Waterfall Category]]="","",IF(INDEX(tblDecarbLevers_S1[Calculated Impact (tCO2e)],tblWaterfall_S1[[#This Row],[Sequence]])&lt;0,"Emission Increase","Reduction Lever"))</f>
        <v/>
      </c>
      <c r="Q24" s="50" t="str" cm="1">
        <f t="array" ref="Q24">IF(tblWaterfall_S1[[#This Row],[Waterfall Category]]="","",-INDEX(tblDecarbLevers_S1[Calculated Impact (tCO2e)],tblWaterfall_S1[[#This Row],[Sequence]]))</f>
        <v/>
      </c>
      <c r="R24" s="51" t="str" cm="1">
        <f t="array" ref="R24">IF(tblWaterfall_S1[[#This Row],[Waterfall Category]]="","",IF(OR(tblWaterfall_S1[[#This Row],[Waterfall Type]]="Baseline",tblWaterfall_S1[[#This Row],[Waterfall Type]]="Planned Residual",tblWaterfall_S1[[#This Row],[Waterfall Type]]="Target"),0,IF(tblTarget[Required Reduction (tCO2e)]&lt;=0,0,-tblWaterfall_S1[[#This Row],[Amount (tCO2e)]]/tblTarget[Required Reduction (tCO2e)])))</f>
        <v/>
      </c>
      <c r="S24" s="36" t="str" cm="1">
        <f t="array" ref="S24">IF(tblWaterfall_S1[[#This Row],[Waterfall Category]]="","",INDEX(tblDecarbLevers_S1[Scope],tblWaterfall_S1[[#This Row],[Sequence]]))</f>
        <v/>
      </c>
    </row>
    <row r="25" spans="1:19" ht="15" customHeight="1" x14ac:dyDescent="0.25">
      <c r="A25" s="69" t="str" cm="1">
        <f t="array" ref="A25">IF(tblDecarbLevers_S1[[#This Row],[Lever Name]]="","","L"&amp;TEXT(ROW()-ROW(tblDecarbLevers_S1[#Headers]),"000"))</f>
        <v/>
      </c>
      <c r="B25" s="70"/>
      <c r="C25" s="61"/>
      <c r="D25" s="70"/>
      <c r="E25" s="62"/>
      <c r="F25" s="63"/>
      <c r="G25" s="64" cm="1">
        <f t="array" ref="G25">IF(tblDecarbLevers_S1[[#This Row],[Lever Name]]="",0,MAX(0,SUMPRODUCT(IF(((tblActivity[Scope]=tblDecarbLevers_S1[[#This Row],[Scope]])+(tblDecarbLevers_S1[[#This Row],[Scope]]="Scope 1 and 2")&gt;0)*((tblActivity[Source]=tblDecarbLevers_S1[[#This Row],[Emission Source]])+(tblDecarbLevers_S1[[#This Row],[Emission Source]]="All Sources")+((tblDecarbLevers_S1[[#This Row],[Emission Source]]="Liquid Fuels")*((tblActivity[Source]="Petrol")+(tblActivity[Source]="Diesel")))+((tblDecarbLevers_S1[[#This Row],[Emission Source]]="Heat &amp; Steam")*((tblActivity[Source]="Purchased Heating")+(tblActivity[Source]="Purchased Steam")))&gt;0),tblActivity[tCO2e],0))-tblDecarbLevers_S1[[#This Row],[Less: Claimed by Earlier Levers (tCO2e)]]))</f>
        <v>0</v>
      </c>
      <c r="H25" s="64" cm="1">
        <f t="array" ref="H25">_xlfn.LET(_xlpm.k,ROW()-ROW(tblDecarbLevers_S1[#Headers]),IF(OR(tblDecarbLevers_S1[[#This Row],[Lever Name]]="",_xlpm.k=1),0,_xlfn.LET(_xlpm.rScope,INDEX(tblDecarbLevers_S1[Scope],1):INDEX(tblDecarbLevers_S1[Scope],_xlpm.k-1),_xlpm.rSource,INDEX(tblDecarbLevers_S1[Emission Source],1):INDEX(tblDecarbLevers_S1[Emission Source],_xlpm.k-1),_xlpm.rImpact,INDEX(tblDecarbLevers_S1[Calculated Impact (tCO2e)],1):INDEX(tblDecarbLevers_S1[Calculated Impact (tCO2e)],_xlpm.k-1),SUMPRODUCT(((_xlpm.rScope=tblDecarbLevers_S1[[#This Row],[Scope]])+(tblDecarbLevers_S1[[#This Row],[Scope]]="Scope 1 and 2")+(_xlpm.rScope="Scope 1 and 2")&gt;0)*((_xlpm.rSource=tblDecarbLevers_S1[[#This Row],[Emission Source]])+(tblDecarbLevers_S1[[#This Row],[Emission Source]]="All Sources")+(_xlpm.rSource="All Sources")+((tblDecarbLevers_S1[[#This Row],[Emission Source]]="Liquid Fuels")*((_xlpm.rSource="Petrol")+(_xlpm.rSource="Diesel")))+((_xlpm.rSource="Liquid Fuels")*((tblDecarbLevers_S1[[#This Row],[Emission Source]]="Petrol")+(tblDecarbLevers_S1[[#This Row],[Emission Source]]="Diesel")))+((tblDecarbLevers_S1[[#This Row],[Emission Source]]="Heat &amp; Steam")*((_xlpm.rSource="Purchased Heating")+(_xlpm.rSource="Purchased Steam")))+((_xlpm.rSource="Heat &amp; Steam")*((tblDecarbLevers_S1[[#This Row],[Emission Source]]="Purchased Heating")+(tblDecarbLevers_S1[[#This Row],[Emission Source]]="Purchased Steam")))&gt;0)*_xlpm.rImpact))))</f>
        <v>0</v>
      </c>
      <c r="I25" s="65">
        <f>IF(OR(tblDecarbLevers_S1[[#This Row],[Lever Name]]="",tblDecarbLevers_S1[[#This Row],[Impact Unit]]=""),0,IF(tblDecarbLevers_S1[[#This Row],[Impact Unit]]="Percentage",tblDecarbLevers_S1[[#This Row],[Applicable Baseline Emissions (tCO2e)]]*N(tblDecarbLevers_S1[[#This Row],[Impact Input]])/100,MIN(N(tblDecarbLevers_S1[[#This Row],[Impact Input]]),tblDecarbLevers_S1[[#This Row],[Applicable Baseline Emissions (tCO2e)]])))</f>
        <v>0</v>
      </c>
      <c r="J25" s="71" cm="1">
        <f t="array" ref="J25">IF(OR(tblDecarbLevers_S1[[#This Row],[Lever Name]]="",tblTarget[Required Reduction (tCO2e)]&lt;=0),0,tblDecarbLevers_S1[[#This Row],[Calculated Impact (tCO2e)]]/tblTarget[Required Reduction (tCO2e)])</f>
        <v>0</v>
      </c>
      <c r="K25" s="65" cm="1">
        <f t="array" ref="K25">IF(tblDecarbLevers_S1[[#This Row],[Lever Name]]="",0,ROUND(tblTarget[Baseline Emissions (tCO2e)]-SUM(INDEX(tblDecarbLevers_S1[Calculated Impact (tCO2e)],1):tblDecarbLevers_S1[[#This Row],[Calculated Impact (tCO2e)]]),6))</f>
        <v>0</v>
      </c>
      <c r="L25" s="68"/>
      <c r="N25" s="41">
        <v>11</v>
      </c>
      <c r="O25" s="44" t="str" cm="1">
        <f t="array" ref="O25">IF(INDEX(tblDecarbLevers_S1[Lever Name],tblWaterfall_S1[[#This Row],[Sequence]])="","",INDEX(tblDecarbLevers_S1[Lever Name],tblWaterfall_S1[[#This Row],[Sequence]]))</f>
        <v/>
      </c>
      <c r="P25" s="36" t="str" cm="1">
        <f t="array" ref="P25">IF(tblWaterfall_S1[[#This Row],[Waterfall Category]]="","",IF(INDEX(tblDecarbLevers_S1[Calculated Impact (tCO2e)],tblWaterfall_S1[[#This Row],[Sequence]])&lt;0,"Emission Increase","Reduction Lever"))</f>
        <v/>
      </c>
      <c r="Q25" s="50" t="str" cm="1">
        <f t="array" ref="Q25">IF(tblWaterfall_S1[[#This Row],[Waterfall Category]]="","",-INDEX(tblDecarbLevers_S1[Calculated Impact (tCO2e)],tblWaterfall_S1[[#This Row],[Sequence]]))</f>
        <v/>
      </c>
      <c r="R25" s="51" t="str" cm="1">
        <f t="array" ref="R25">IF(tblWaterfall_S1[[#This Row],[Waterfall Category]]="","",IF(OR(tblWaterfall_S1[[#This Row],[Waterfall Type]]="Baseline",tblWaterfall_S1[[#This Row],[Waterfall Type]]="Planned Residual",tblWaterfall_S1[[#This Row],[Waterfall Type]]="Target"),0,IF(tblTarget[Required Reduction (tCO2e)]&lt;=0,0,-tblWaterfall_S1[[#This Row],[Amount (tCO2e)]]/tblTarget[Required Reduction (tCO2e)])))</f>
        <v/>
      </c>
      <c r="S25" s="36" t="str" cm="1">
        <f t="array" ref="S25">IF(tblWaterfall_S1[[#This Row],[Waterfall Category]]="","",INDEX(tblDecarbLevers_S1[Scope],tblWaterfall_S1[[#This Row],[Sequence]]))</f>
        <v/>
      </c>
    </row>
    <row r="26" spans="1:19" ht="15" customHeight="1" x14ac:dyDescent="0.25">
      <c r="A26" s="69" t="str" cm="1">
        <f t="array" ref="A26">IF(tblDecarbLevers_S1[[#This Row],[Lever Name]]="","","L"&amp;TEXT(ROW()-ROW(tblDecarbLevers_S1[#Headers]),"000"))</f>
        <v/>
      </c>
      <c r="B26" s="70"/>
      <c r="C26" s="61"/>
      <c r="D26" s="70"/>
      <c r="E26" s="62"/>
      <c r="F26" s="63"/>
      <c r="G26" s="64" cm="1">
        <f t="array" ref="G26">IF(tblDecarbLevers_S1[[#This Row],[Lever Name]]="",0,MAX(0,SUMPRODUCT(IF(((tblActivity[Scope]=tblDecarbLevers_S1[[#This Row],[Scope]])+(tblDecarbLevers_S1[[#This Row],[Scope]]="Scope 1 and 2")&gt;0)*((tblActivity[Source]=tblDecarbLevers_S1[[#This Row],[Emission Source]])+(tblDecarbLevers_S1[[#This Row],[Emission Source]]="All Sources")+((tblDecarbLevers_S1[[#This Row],[Emission Source]]="Liquid Fuels")*((tblActivity[Source]="Petrol")+(tblActivity[Source]="Diesel")))+((tblDecarbLevers_S1[[#This Row],[Emission Source]]="Heat &amp; Steam")*((tblActivity[Source]="Purchased Heating")+(tblActivity[Source]="Purchased Steam")))&gt;0),tblActivity[tCO2e],0))-tblDecarbLevers_S1[[#This Row],[Less: Claimed by Earlier Levers (tCO2e)]]))</f>
        <v>0</v>
      </c>
      <c r="H26" s="64" cm="1">
        <f t="array" ref="H26">_xlfn.LET(_xlpm.k,ROW()-ROW(tblDecarbLevers_S1[#Headers]),IF(OR(tblDecarbLevers_S1[[#This Row],[Lever Name]]="",_xlpm.k=1),0,_xlfn.LET(_xlpm.rScope,INDEX(tblDecarbLevers_S1[Scope],1):INDEX(tblDecarbLevers_S1[Scope],_xlpm.k-1),_xlpm.rSource,INDEX(tblDecarbLevers_S1[Emission Source],1):INDEX(tblDecarbLevers_S1[Emission Source],_xlpm.k-1),_xlpm.rImpact,INDEX(tblDecarbLevers_S1[Calculated Impact (tCO2e)],1):INDEX(tblDecarbLevers_S1[Calculated Impact (tCO2e)],_xlpm.k-1),SUMPRODUCT(((_xlpm.rScope=tblDecarbLevers_S1[[#This Row],[Scope]])+(tblDecarbLevers_S1[[#This Row],[Scope]]="Scope 1 and 2")+(_xlpm.rScope="Scope 1 and 2")&gt;0)*((_xlpm.rSource=tblDecarbLevers_S1[[#This Row],[Emission Source]])+(tblDecarbLevers_S1[[#This Row],[Emission Source]]="All Sources")+(_xlpm.rSource="All Sources")+((tblDecarbLevers_S1[[#This Row],[Emission Source]]="Liquid Fuels")*((_xlpm.rSource="Petrol")+(_xlpm.rSource="Diesel")))+((_xlpm.rSource="Liquid Fuels")*((tblDecarbLevers_S1[[#This Row],[Emission Source]]="Petrol")+(tblDecarbLevers_S1[[#This Row],[Emission Source]]="Diesel")))+((tblDecarbLevers_S1[[#This Row],[Emission Source]]="Heat &amp; Steam")*((_xlpm.rSource="Purchased Heating")+(_xlpm.rSource="Purchased Steam")))+((_xlpm.rSource="Heat &amp; Steam")*((tblDecarbLevers_S1[[#This Row],[Emission Source]]="Purchased Heating")+(tblDecarbLevers_S1[[#This Row],[Emission Source]]="Purchased Steam")))&gt;0)*_xlpm.rImpact))))</f>
        <v>0</v>
      </c>
      <c r="I26" s="65">
        <f>IF(OR(tblDecarbLevers_S1[[#This Row],[Lever Name]]="",tblDecarbLevers_S1[[#This Row],[Impact Unit]]=""),0,IF(tblDecarbLevers_S1[[#This Row],[Impact Unit]]="Percentage",tblDecarbLevers_S1[[#This Row],[Applicable Baseline Emissions (tCO2e)]]*N(tblDecarbLevers_S1[[#This Row],[Impact Input]])/100,MIN(N(tblDecarbLevers_S1[[#This Row],[Impact Input]]),tblDecarbLevers_S1[[#This Row],[Applicable Baseline Emissions (tCO2e)]])))</f>
        <v>0</v>
      </c>
      <c r="J26" s="71" cm="1">
        <f t="array" ref="J26">IF(OR(tblDecarbLevers_S1[[#This Row],[Lever Name]]="",tblTarget[Required Reduction (tCO2e)]&lt;=0),0,tblDecarbLevers_S1[[#This Row],[Calculated Impact (tCO2e)]]/tblTarget[Required Reduction (tCO2e)])</f>
        <v>0</v>
      </c>
      <c r="K26" s="65" cm="1">
        <f t="array" ref="K26">IF(tblDecarbLevers_S1[[#This Row],[Lever Name]]="",0,ROUND(tblTarget[Baseline Emissions (tCO2e)]-SUM(INDEX(tblDecarbLevers_S1[Calculated Impact (tCO2e)],1):tblDecarbLevers_S1[[#This Row],[Calculated Impact (tCO2e)]]),6))</f>
        <v>0</v>
      </c>
      <c r="L26" s="68"/>
      <c r="N26" s="41">
        <v>12</v>
      </c>
      <c r="O26" s="44" t="str" cm="1">
        <f t="array" ref="O26">IF(INDEX(tblDecarbLevers_S1[Lever Name],tblWaterfall_S1[[#This Row],[Sequence]])="","",INDEX(tblDecarbLevers_S1[Lever Name],tblWaterfall_S1[[#This Row],[Sequence]]))</f>
        <v/>
      </c>
      <c r="P26" s="36" t="str" cm="1">
        <f t="array" ref="P26">IF(tblWaterfall_S1[[#This Row],[Waterfall Category]]="","",IF(INDEX(tblDecarbLevers_S1[Calculated Impact (tCO2e)],tblWaterfall_S1[[#This Row],[Sequence]])&lt;0,"Emission Increase","Reduction Lever"))</f>
        <v/>
      </c>
      <c r="Q26" s="50" t="str" cm="1">
        <f t="array" ref="Q26">IF(tblWaterfall_S1[[#This Row],[Waterfall Category]]="","",-INDEX(tblDecarbLevers_S1[Calculated Impact (tCO2e)],tblWaterfall_S1[[#This Row],[Sequence]]))</f>
        <v/>
      </c>
      <c r="R26" s="51" t="str" cm="1">
        <f t="array" ref="R26">IF(tblWaterfall_S1[[#This Row],[Waterfall Category]]="","",IF(OR(tblWaterfall_S1[[#This Row],[Waterfall Type]]="Baseline",tblWaterfall_S1[[#This Row],[Waterfall Type]]="Planned Residual",tblWaterfall_S1[[#This Row],[Waterfall Type]]="Target"),0,IF(tblTarget[Required Reduction (tCO2e)]&lt;=0,0,-tblWaterfall_S1[[#This Row],[Amount (tCO2e)]]/tblTarget[Required Reduction (tCO2e)])))</f>
        <v/>
      </c>
      <c r="S26" s="36" t="str" cm="1">
        <f t="array" ref="S26">IF(tblWaterfall_S1[[#This Row],[Waterfall Category]]="","",INDEX(tblDecarbLevers_S1[Scope],tblWaterfall_S1[[#This Row],[Sequence]]))</f>
        <v/>
      </c>
    </row>
    <row r="27" spans="1:19" x14ac:dyDescent="0.25">
      <c r="A27" s="60" t="s">
        <v>160</v>
      </c>
      <c r="N27" s="31">
        <v>13</v>
      </c>
      <c r="O27" s="44" t="str" cm="1">
        <f t="array" ref="O27">tblTarget[Target Year]&amp;" - "&amp;IF(tblTarget[Impact Unit]="Percentage",TEXT(tblTarget[Target Reduction %],"0%"),TEXT(tblTarget[Target Input],"General")&amp;" tCO2e")&amp;" Reduction Target"</f>
        <v>2030 - 70% Reduction Target</v>
      </c>
      <c r="P27" s="36" t="s">
        <v>163</v>
      </c>
      <c r="Q27" s="50" cm="1">
        <f t="array" ref="Q27">tblTarget[Baseline Emissions (tCO2e)]-SUM(tblDecarbLevers_S1[Calculated Impact (tCO2e)])</f>
        <v>91.89999999999992</v>
      </c>
      <c r="R27" s="51" cm="1">
        <f t="array" ref="R27">IF(tblWaterfall_S1[[#This Row],[Waterfall Category]]="","",IF(OR(tblWaterfall_S1[[#This Row],[Waterfall Type]]="Baseline",tblWaterfall_S1[[#This Row],[Waterfall Type]]="Planned Residual",tblWaterfall_S1[[#This Row],[Waterfall Type]]="Target"),0,IF(tblTarget[Required Reduction (tCO2e)]&lt;=0,0,-tblWaterfall_S1[[#This Row],[Amount (tCO2e)]]/tblTarget[Required Reduction (tCO2e)])))</f>
        <v>-0.34660637686977874</v>
      </c>
      <c r="S27" s="36" t="s">
        <v>126</v>
      </c>
    </row>
    <row r="28" spans="1:19" ht="24.95" customHeight="1" x14ac:dyDescent="0.25"/>
    <row r="29" spans="1:19" ht="24.95" customHeight="1" x14ac:dyDescent="0.25">
      <c r="A29" s="30" t="s">
        <v>128</v>
      </c>
      <c r="C29" s="7" t="s">
        <v>127</v>
      </c>
      <c r="N29" s="10" t="s">
        <v>98</v>
      </c>
      <c r="O29" s="10" t="s">
        <v>99</v>
      </c>
      <c r="P29" s="10" t="s">
        <v>100</v>
      </c>
      <c r="Q29" s="10" t="s">
        <v>101</v>
      </c>
      <c r="R29" s="10" t="s">
        <v>106</v>
      </c>
      <c r="S29" s="10" t="s">
        <v>43</v>
      </c>
    </row>
    <row r="30" spans="1:19" ht="38.25" x14ac:dyDescent="0.25">
      <c r="A30" s="66" t="s">
        <v>102</v>
      </c>
      <c r="B30" s="66" t="s">
        <v>103</v>
      </c>
      <c r="C30" s="66" t="s">
        <v>43</v>
      </c>
      <c r="D30" s="66" t="s">
        <v>104</v>
      </c>
      <c r="E30" s="66" t="s">
        <v>121</v>
      </c>
      <c r="F30" s="66" t="s">
        <v>118</v>
      </c>
      <c r="G30" s="66" t="s">
        <v>105</v>
      </c>
      <c r="H30" s="66" t="s">
        <v>166</v>
      </c>
      <c r="I30" s="66" t="s">
        <v>119</v>
      </c>
      <c r="J30" s="66" t="s">
        <v>106</v>
      </c>
      <c r="K30" s="66" t="s">
        <v>165</v>
      </c>
      <c r="L30" s="43" t="s">
        <v>97</v>
      </c>
      <c r="N30" s="41">
        <v>0</v>
      </c>
      <c r="O30" s="44" t="str" cm="1">
        <f t="array" ref="O30">tblTarget[Baseline Year]&amp;" Baseline Emissions"</f>
        <v>2026 Baseline Emissions</v>
      </c>
      <c r="P30" s="36" t="s">
        <v>125</v>
      </c>
      <c r="Q30" s="50" cm="1">
        <f t="array" ref="Q30">tblTarget[Baseline Emissions (tCO2e)]</f>
        <v>378.77466499999997</v>
      </c>
      <c r="R30" s="51" cm="1">
        <f t="array" ref="R30">IF(tblWaterfall_S2[[#This Row],[Waterfall Category]]="","",IF(OR(tblWaterfall_S2[[#This Row],[Waterfall Type]]="Baseline",tblWaterfall_S2[[#This Row],[Waterfall Type]]="Planned Residual",tblWaterfall_S2[[#This Row],[Waterfall Type]]="Target"),0,IF(tblTarget[Required Reduction (tCO2e)]&lt;=0,0,-tblWaterfall_S2[[#This Row],[Amount (tCO2e)]]/tblTarget[Required Reduction (tCO2e)])))</f>
        <v>0</v>
      </c>
      <c r="S30" s="36" t="s">
        <v>126</v>
      </c>
    </row>
    <row r="31" spans="1:19" ht="15" customHeight="1" x14ac:dyDescent="0.25">
      <c r="A31" s="69" t="str" cm="1">
        <f t="array" ref="A31">IF(tblDecarbLevers_S2[[#This Row],[Lever Name]]="","","L"&amp;TEXT(ROW()-ROW(tblDecarbLevers_S2[#Headers]),"000"))</f>
        <v>L001</v>
      </c>
      <c r="B31" s="70" t="s">
        <v>142</v>
      </c>
      <c r="C31" s="61" t="s">
        <v>49</v>
      </c>
      <c r="D31" s="70" t="s">
        <v>133</v>
      </c>
      <c r="E31" s="62" t="s">
        <v>109</v>
      </c>
      <c r="F31" s="63">
        <v>100</v>
      </c>
      <c r="G31" s="64" cm="1">
        <f t="array" ref="G31">IF(tblDecarbLevers_S2[[#This Row],[Lever Name]]="",0,MAX(0,SUMPRODUCT(IF(((tblActivity[Scope]=tblDecarbLevers_S2[[#This Row],[Scope]])+(tblDecarbLevers_S2[[#This Row],[Scope]]="Scope 1 and 2")&gt;0)*((tblActivity[Source]=tblDecarbLevers_S2[[#This Row],[Emission Source]])+(tblDecarbLevers_S2[[#This Row],[Emission Source]]="All Sources")+((tblDecarbLevers_S2[[#This Row],[Emission Source]]="Liquid Fuels")*((tblActivity[Source]="Petrol")+(tblActivity[Source]="Diesel")))+((tblDecarbLevers_S2[[#This Row],[Emission Source]]="Heat &amp; Steam")*((tblActivity[Source]="Purchased Heating")+(tblActivity[Source]="Purchased Steam")))&gt;0),tblActivity[tCO2e],0))-tblDecarbLevers_S2[[#This Row],[Less: Claimed by Earlier Levers (tCO2e)]]))</f>
        <v>50.987825000000008</v>
      </c>
      <c r="H31" s="64" cm="1">
        <f t="array" ref="H31">_xlfn.LET(_xlpm.k,ROW()-ROW(tblDecarbLevers_S2[#Headers]),IF(OR(tblDecarbLevers_S2[[#This Row],[Lever Name]]="",_xlpm.k=1),0,_xlfn.LET(_xlpm.rScope,INDEX(tblDecarbLevers_S2[Scope],1):INDEX(tblDecarbLevers_S2[Scope],_xlpm.k-1),_xlpm.rSource,INDEX(tblDecarbLevers_S2[Emission Source],1):INDEX(tblDecarbLevers_S2[Emission Source],_xlpm.k-1),_xlpm.rImpact,INDEX(tblDecarbLevers_S2[Calculated Impact (tCO2e)],1):INDEX(tblDecarbLevers_S2[Calculated Impact (tCO2e)],_xlpm.k-1),SUMPRODUCT(((_xlpm.rScope=tblDecarbLevers_S2[[#This Row],[Scope]])+(tblDecarbLevers_S2[[#This Row],[Scope]]="Scope 1 and 2")+(_xlpm.rScope="Scope 1 and 2")&gt;0)*((_xlpm.rSource=tblDecarbLevers_S2[[#This Row],[Emission Source]])+(tblDecarbLevers_S2[[#This Row],[Emission Source]]="All Sources")+(_xlpm.rSource="All Sources")+((tblDecarbLevers_S2[[#This Row],[Emission Source]]="Liquid Fuels")*((_xlpm.rSource="Petrol")+(_xlpm.rSource="Diesel")))+((_xlpm.rSource="Liquid Fuels")*((tblDecarbLevers_S2[[#This Row],[Emission Source]]="Petrol")+(tblDecarbLevers_S2[[#This Row],[Emission Source]]="Diesel")))+((tblDecarbLevers_S2[[#This Row],[Emission Source]]="Heat &amp; Steam")*((_xlpm.rSource="Purchased Heating")+(_xlpm.rSource="Purchased Steam")))+((_xlpm.rSource="Heat &amp; Steam")*((tblDecarbLevers_S2[[#This Row],[Emission Source]]="Purchased Heating")+(tblDecarbLevers_S2[[#This Row],[Emission Source]]="Purchased Steam")))&gt;0)*_xlpm.rImpact))))</f>
        <v>0</v>
      </c>
      <c r="I31" s="65">
        <f>IF(OR(tblDecarbLevers_S2[[#This Row],[Lever Name]]="",tblDecarbLevers_S2[[#This Row],[Impact Unit]]=""),0,IF(tblDecarbLevers_S2[[#This Row],[Impact Unit]]="Percentage",tblDecarbLevers_S2[[#This Row],[Applicable Baseline Emissions (tCO2e)]]*N(tblDecarbLevers_S2[[#This Row],[Impact Input]])/100,MIN(N(tblDecarbLevers_S2[[#This Row],[Impact Input]]),tblDecarbLevers_S2[[#This Row],[Applicable Baseline Emissions (tCO2e)]])))</f>
        <v>50.987825000000015</v>
      </c>
      <c r="J31" s="71" cm="1">
        <f t="array" ref="J31">IF(OR(tblDecarbLevers_S2[[#This Row],[Lever Name]]="",tblTarget[Required Reduction (tCO2e)]&lt;=0),0,tblDecarbLevers_S2[[#This Row],[Calculated Impact (tCO2e)]]/tblTarget[Required Reduction (tCO2e)])</f>
        <v>0.19230364839739225</v>
      </c>
      <c r="K31" s="65" cm="1">
        <f t="array" ref="K31">IF(tblDecarbLevers_S2[[#This Row],[Lever Name]]="",0,ROUND(tblTarget[Baseline Emissions (tCO2e)]-SUM(INDEX(tblDecarbLevers_S2[Calculated Impact (tCO2e)],1):tblDecarbLevers_S2[[#This Row],[Calculated Impact (tCO2e)]]),6))</f>
        <v>327.78683999999998</v>
      </c>
      <c r="L31" s="68" t="s">
        <v>123</v>
      </c>
      <c r="N31" s="41">
        <v>1</v>
      </c>
      <c r="O31" s="44" t="str" cm="1">
        <f t="array" ref="O31">IF(INDEX(tblDecarbLevers_S2[Lever Name],tblWaterfall_S2[[#This Row],[Sequence]])="","",INDEX(tblDecarbLevers_S2[Lever Name],tblWaterfall_S2[[#This Row],[Sequence]]))</f>
        <v>Retirement of Company Fleet</v>
      </c>
      <c r="P31" s="36" t="str" cm="1">
        <f t="array" ref="P31">IF(tblWaterfall_S2[[#This Row],[Waterfall Category]]="","",IF(INDEX(tblDecarbLevers_S2[Calculated Impact (tCO2e)],tblWaterfall_S2[[#This Row],[Sequence]])&lt;0,"Emission Increase","Reduction Lever"))</f>
        <v>Reduction Lever</v>
      </c>
      <c r="Q31" s="50" cm="1">
        <f t="array" ref="Q31">IF(tblWaterfall_S2[[#This Row],[Waterfall Category]]="","",-INDEX(tblDecarbLevers_S2[Calculated Impact (tCO2e)],tblWaterfall_S2[[#This Row],[Sequence]]))</f>
        <v>-50.987825000000015</v>
      </c>
      <c r="R31" s="51" cm="1">
        <f t="array" ref="R31">IF(tblWaterfall_S2[[#This Row],[Waterfall Category]]="","",IF(OR(tblWaterfall_S2[[#This Row],[Waterfall Type]]="Baseline",tblWaterfall_S2[[#This Row],[Waterfall Type]]="Planned Residual",tblWaterfall_S2[[#This Row],[Waterfall Type]]="Target"),0,IF(tblTarget[Required Reduction (tCO2e)]&lt;=0,0,-tblWaterfall_S2[[#This Row],[Amount (tCO2e)]]/tblTarget[Required Reduction (tCO2e)])))</f>
        <v>0.19230364839739225</v>
      </c>
      <c r="S31" s="36" t="str" cm="1">
        <f t="array" ref="S31">IF(tblWaterfall_S2[[#This Row],[Waterfall Category]]="","",INDEX(tblDecarbLevers_S2[Scope],tblWaterfall_S2[[#This Row],[Sequence]]))</f>
        <v>Scope 1</v>
      </c>
    </row>
    <row r="32" spans="1:19" ht="15" customHeight="1" x14ac:dyDescent="0.25">
      <c r="A32" s="69" t="str" cm="1">
        <f t="array" ref="A32">IF(tblDecarbLevers_S2[[#This Row],[Lever Name]]="","","L"&amp;TEXT(ROW()-ROW(tblDecarbLevers_S2[#Headers]),"000"))</f>
        <v>L002</v>
      </c>
      <c r="B32" s="70" t="s">
        <v>140</v>
      </c>
      <c r="C32" s="61" t="s">
        <v>49</v>
      </c>
      <c r="D32" s="70" t="s">
        <v>66</v>
      </c>
      <c r="E32" s="62" t="s">
        <v>109</v>
      </c>
      <c r="F32" s="63">
        <v>100</v>
      </c>
      <c r="G32" s="64" cm="1">
        <f t="array" ref="G32">IF(tblDecarbLevers_S2[[#This Row],[Lever Name]]="",0,MAX(0,SUMPRODUCT(IF(((tblActivity[Scope]=tblDecarbLevers_S2[[#This Row],[Scope]])+(tblDecarbLevers_S2[[#This Row],[Scope]]="Scope 1 and 2")&gt;0)*((tblActivity[Source]=tblDecarbLevers_S2[[#This Row],[Emission Source]])+(tblDecarbLevers_S2[[#This Row],[Emission Source]]="All Sources")+((tblDecarbLevers_S2[[#This Row],[Emission Source]]="Liquid Fuels")*((tblActivity[Source]="Petrol")+(tblActivity[Source]="Diesel")))+((tblDecarbLevers_S2[[#This Row],[Emission Source]]="Heat &amp; Steam")*((tblActivity[Source]="Purchased Heating")+(tblActivity[Source]="Purchased Steam")))&gt;0),tblActivity[tCO2e],0))-tblDecarbLevers_S2[[#This Row],[Less: Claimed by Earlier Levers (tCO2e)]]))</f>
        <v>51.53</v>
      </c>
      <c r="H32" s="64" cm="1">
        <f t="array" ref="H32">_xlfn.LET(_xlpm.k,ROW()-ROW(tblDecarbLevers_S2[#Headers]),IF(OR(tblDecarbLevers_S2[[#This Row],[Lever Name]]="",_xlpm.k=1),0,_xlfn.LET(_xlpm.rScope,INDEX(tblDecarbLevers_S2[Scope],1):INDEX(tblDecarbLevers_S2[Scope],_xlpm.k-1),_xlpm.rSource,INDEX(tblDecarbLevers_S2[Emission Source],1):INDEX(tblDecarbLevers_S2[Emission Source],_xlpm.k-1),_xlpm.rImpact,INDEX(tblDecarbLevers_S2[Calculated Impact (tCO2e)],1):INDEX(tblDecarbLevers_S2[Calculated Impact (tCO2e)],_xlpm.k-1),SUMPRODUCT(((_xlpm.rScope=tblDecarbLevers_S2[[#This Row],[Scope]])+(tblDecarbLevers_S2[[#This Row],[Scope]]="Scope 1 and 2")+(_xlpm.rScope="Scope 1 and 2")&gt;0)*((_xlpm.rSource=tblDecarbLevers_S2[[#This Row],[Emission Source]])+(tblDecarbLevers_S2[[#This Row],[Emission Source]]="All Sources")+(_xlpm.rSource="All Sources")+((tblDecarbLevers_S2[[#This Row],[Emission Source]]="Liquid Fuels")*((_xlpm.rSource="Petrol")+(_xlpm.rSource="Diesel")))+((_xlpm.rSource="Liquid Fuels")*((tblDecarbLevers_S2[[#This Row],[Emission Source]]="Petrol")+(tblDecarbLevers_S2[[#This Row],[Emission Source]]="Diesel")))+((tblDecarbLevers_S2[[#This Row],[Emission Source]]="Heat &amp; Steam")*((_xlpm.rSource="Purchased Heating")+(_xlpm.rSource="Purchased Steam")))+((_xlpm.rSource="Heat &amp; Steam")*((tblDecarbLevers_S2[[#This Row],[Emission Source]]="Purchased Heating")+(tblDecarbLevers_S2[[#This Row],[Emission Source]]="Purchased Steam")))&gt;0)*_xlpm.rImpact))))</f>
        <v>0</v>
      </c>
      <c r="I32" s="65">
        <f>IF(OR(tblDecarbLevers_S2[[#This Row],[Lever Name]]="",tblDecarbLevers_S2[[#This Row],[Impact Unit]]=""),0,IF(tblDecarbLevers_S2[[#This Row],[Impact Unit]]="Percentage",tblDecarbLevers_S2[[#This Row],[Applicable Baseline Emissions (tCO2e)]]*N(tblDecarbLevers_S2[[#This Row],[Impact Input]])/100,MIN(N(tblDecarbLevers_S2[[#This Row],[Impact Input]]),tblDecarbLevers_S2[[#This Row],[Applicable Baseline Emissions (tCO2e)]])))</f>
        <v>51.53</v>
      </c>
      <c r="J32" s="71" cm="1">
        <f t="array" ref="J32">IF(OR(tblDecarbLevers_S2[[#This Row],[Lever Name]]="",tblTarget[Required Reduction (tCO2e)]&lt;=0),0,tblDecarbLevers_S2[[#This Row],[Calculated Impact (tCO2e)]]/tblTarget[Required Reduction (tCO2e)])</f>
        <v>0.19434849401631898</v>
      </c>
      <c r="K32" s="65" cm="1">
        <f t="array" ref="K32">IF(tblDecarbLevers_S2[[#This Row],[Lever Name]]="",0,ROUND(tblTarget[Baseline Emissions (tCO2e)]-SUM(INDEX(tblDecarbLevers_S2[Calculated Impact (tCO2e)],1):tblDecarbLevers_S2[[#This Row],[Calculated Impact (tCO2e)]]),6))</f>
        <v>276.25684000000001</v>
      </c>
      <c r="L32" s="68"/>
      <c r="N32" s="41">
        <v>2</v>
      </c>
      <c r="O32" s="44" t="str" cm="1">
        <f t="array" ref="O32">IF(INDEX(tblDecarbLevers_S2[Lever Name],tblWaterfall_S2[[#This Row],[Sequence]])="","",INDEX(tblDecarbLevers_S2[Lever Name],tblWaterfall_S2[[#This Row],[Sequence]]))</f>
        <v>Facility Gas Boiler Phase-Out</v>
      </c>
      <c r="P32" s="36" t="str" cm="1">
        <f t="array" ref="P32">IF(tblWaterfall_S2[[#This Row],[Waterfall Category]]="","",IF(INDEX(tblDecarbLevers_S2[Calculated Impact (tCO2e)],tblWaterfall_S2[[#This Row],[Sequence]])&lt;0,"Emission Increase","Reduction Lever"))</f>
        <v>Reduction Lever</v>
      </c>
      <c r="Q32" s="50" cm="1">
        <f t="array" ref="Q32">IF(tblWaterfall_S2[[#This Row],[Waterfall Category]]="","",-INDEX(tblDecarbLevers_S2[Calculated Impact (tCO2e)],tblWaterfall_S2[[#This Row],[Sequence]]))</f>
        <v>-51.53</v>
      </c>
      <c r="R32" s="51" cm="1">
        <f t="array" ref="R32">IF(tblWaterfall_S2[[#This Row],[Waterfall Category]]="","",IF(OR(tblWaterfall_S2[[#This Row],[Waterfall Type]]="Baseline",tblWaterfall_S2[[#This Row],[Waterfall Type]]="Planned Residual",tblWaterfall_S2[[#This Row],[Waterfall Type]]="Target"),0,IF(tblTarget[Required Reduction (tCO2e)]&lt;=0,0,-tblWaterfall_S2[[#This Row],[Amount (tCO2e)]]/tblTarget[Required Reduction (tCO2e)])))</f>
        <v>0.19434849401631898</v>
      </c>
      <c r="S32" s="36" t="str" cm="1">
        <f t="array" ref="S32">IF(tblWaterfall_S2[[#This Row],[Waterfall Category]]="","",INDEX(tblDecarbLevers_S2[Scope],tblWaterfall_S2[[#This Row],[Sequence]]))</f>
        <v>Scope 1</v>
      </c>
    </row>
    <row r="33" spans="1:19" ht="15" customHeight="1" x14ac:dyDescent="0.25">
      <c r="A33" s="69" t="str" cm="1">
        <f t="array" ref="A33">IF(tblDecarbLevers_S2[[#This Row],[Lever Name]]="","","L"&amp;TEXT(ROW()-ROW(tblDecarbLevers_S2[#Headers]),"000"))</f>
        <v>L003</v>
      </c>
      <c r="B33" s="70" t="s">
        <v>144</v>
      </c>
      <c r="C33" s="61" t="s">
        <v>51</v>
      </c>
      <c r="D33" s="70" t="s">
        <v>134</v>
      </c>
      <c r="E33" s="62" t="s">
        <v>109</v>
      </c>
      <c r="F33" s="63">
        <v>100</v>
      </c>
      <c r="G33" s="64" cm="1">
        <f t="array" ref="G33">IF(tblDecarbLevers_S2[[#This Row],[Lever Name]]="",0,MAX(0,SUMPRODUCT(IF(((tblActivity[Scope]=tblDecarbLevers_S2[[#This Row],[Scope]])+(tblDecarbLevers_S2[[#This Row],[Scope]]="Scope 1 and 2")&gt;0)*((tblActivity[Source]=tblDecarbLevers_S2[[#This Row],[Emission Source]])+(tblDecarbLevers_S2[[#This Row],[Emission Source]]="All Sources")+((tblDecarbLevers_S2[[#This Row],[Emission Source]]="Liquid Fuels")*((tblActivity[Source]="Petrol")+(tblActivity[Source]="Diesel")))+((tblDecarbLevers_S2[[#This Row],[Emission Source]]="Heat &amp; Steam")*((tblActivity[Source]="Purchased Heating")+(tblActivity[Source]="Purchased Steam")))&gt;0),tblActivity[tCO2e],0))-tblDecarbLevers_S2[[#This Row],[Less: Claimed by Earlier Levers (tCO2e)]]))</f>
        <v>34.356840000000005</v>
      </c>
      <c r="H33" s="64" cm="1">
        <f t="array" ref="H33">_xlfn.LET(_xlpm.k,ROW()-ROW(tblDecarbLevers_S2[#Headers]),IF(OR(tblDecarbLevers_S2[[#This Row],[Lever Name]]="",_xlpm.k=1),0,_xlfn.LET(_xlpm.rScope,INDEX(tblDecarbLevers_S2[Scope],1):INDEX(tblDecarbLevers_S2[Scope],_xlpm.k-1),_xlpm.rSource,INDEX(tblDecarbLevers_S2[Emission Source],1):INDEX(tblDecarbLevers_S2[Emission Source],_xlpm.k-1),_xlpm.rImpact,INDEX(tblDecarbLevers_S2[Calculated Impact (tCO2e)],1):INDEX(tblDecarbLevers_S2[Calculated Impact (tCO2e)],_xlpm.k-1),SUMPRODUCT(((_xlpm.rScope=tblDecarbLevers_S2[[#This Row],[Scope]])+(tblDecarbLevers_S2[[#This Row],[Scope]]="Scope 1 and 2")+(_xlpm.rScope="Scope 1 and 2")&gt;0)*((_xlpm.rSource=tblDecarbLevers_S2[[#This Row],[Emission Source]])+(tblDecarbLevers_S2[[#This Row],[Emission Source]]="All Sources")+(_xlpm.rSource="All Sources")+((tblDecarbLevers_S2[[#This Row],[Emission Source]]="Liquid Fuels")*((_xlpm.rSource="Petrol")+(_xlpm.rSource="Diesel")))+((_xlpm.rSource="Liquid Fuels")*((tblDecarbLevers_S2[[#This Row],[Emission Source]]="Petrol")+(tblDecarbLevers_S2[[#This Row],[Emission Source]]="Diesel")))+((tblDecarbLevers_S2[[#This Row],[Emission Source]]="Heat &amp; Steam")*((_xlpm.rSource="Purchased Heating")+(_xlpm.rSource="Purchased Steam")))+((_xlpm.rSource="Heat &amp; Steam")*((tblDecarbLevers_S2[[#This Row],[Emission Source]]="Purchased Heating")+(tblDecarbLevers_S2[[#This Row],[Emission Source]]="Purchased Steam")))&gt;0)*_xlpm.rImpact))))</f>
        <v>0</v>
      </c>
      <c r="I33" s="65">
        <f>IF(OR(tblDecarbLevers_S2[[#This Row],[Lever Name]]="",tblDecarbLevers_S2[[#This Row],[Impact Unit]]=""),0,IF(tblDecarbLevers_S2[[#This Row],[Impact Unit]]="Percentage",tblDecarbLevers_S2[[#This Row],[Applicable Baseline Emissions (tCO2e)]]*N(tblDecarbLevers_S2[[#This Row],[Impact Input]])/100,MIN(N(tblDecarbLevers_S2[[#This Row],[Impact Input]]),tblDecarbLevers_S2[[#This Row],[Applicable Baseline Emissions (tCO2e)]])))</f>
        <v>34.356840000000005</v>
      </c>
      <c r="J33" s="71" cm="1">
        <f t="array" ref="J33">IF(OR(tblDecarbLevers_S2[[#This Row],[Lever Name]]="",tblTarget[Required Reduction (tCO2e)]&lt;=0),0,tblDecarbLevers_S2[[#This Row],[Calculated Impact (tCO2e)]]/tblTarget[Required Reduction (tCO2e)])</f>
        <v>0.12957888828177042</v>
      </c>
      <c r="K33" s="65" cm="1">
        <f t="array" ref="K33">IF(tblDecarbLevers_S2[[#This Row],[Lever Name]]="",0,ROUND(tblTarget[Baseline Emissions (tCO2e)]-SUM(INDEX(tblDecarbLevers_S2[Calculated Impact (tCO2e)],1):tblDecarbLevers_S2[[#This Row],[Calculated Impact (tCO2e)]]),6))</f>
        <v>241.9</v>
      </c>
      <c r="L33" s="68"/>
      <c r="N33" s="41">
        <v>3</v>
      </c>
      <c r="O33" s="44" t="str" cm="1">
        <f t="array" ref="O33">IF(INDEX(tblDecarbLevers_S2[Lever Name],tblWaterfall_S2[[#This Row],[Sequence]])="","",INDEX(tblDecarbLevers_S2[Lever Name],tblWaterfall_S2[[#This Row],[Sequence]]))</f>
        <v>Facility Heat &amp; Steam Phase-Out</v>
      </c>
      <c r="P33" s="36" t="str" cm="1">
        <f t="array" ref="P33">IF(tblWaterfall_S2[[#This Row],[Waterfall Category]]="","",IF(INDEX(tblDecarbLevers_S2[Calculated Impact (tCO2e)],tblWaterfall_S2[[#This Row],[Sequence]])&lt;0,"Emission Increase","Reduction Lever"))</f>
        <v>Reduction Lever</v>
      </c>
      <c r="Q33" s="50" cm="1">
        <f t="array" ref="Q33">IF(tblWaterfall_S2[[#This Row],[Waterfall Category]]="","",-INDEX(tblDecarbLevers_S2[Calculated Impact (tCO2e)],tblWaterfall_S2[[#This Row],[Sequence]]))</f>
        <v>-34.356840000000005</v>
      </c>
      <c r="R33" s="51" cm="1">
        <f t="array" ref="R33">IF(tblWaterfall_S2[[#This Row],[Waterfall Category]]="","",IF(OR(tblWaterfall_S2[[#This Row],[Waterfall Type]]="Baseline",tblWaterfall_S2[[#This Row],[Waterfall Type]]="Planned Residual",tblWaterfall_S2[[#This Row],[Waterfall Type]]="Target"),0,IF(tblTarget[Required Reduction (tCO2e)]&lt;=0,0,-tblWaterfall_S2[[#This Row],[Amount (tCO2e)]]/tblTarget[Required Reduction (tCO2e)])))</f>
        <v>0.12957888828177042</v>
      </c>
      <c r="S33" s="36" t="str" cm="1">
        <f t="array" ref="S33">IF(tblWaterfall_S2[[#This Row],[Waterfall Category]]="","",INDEX(tblDecarbLevers_S2[Scope],tblWaterfall_S2[[#This Row],[Sequence]]))</f>
        <v>Scope 2</v>
      </c>
    </row>
    <row r="34" spans="1:19" ht="15" customHeight="1" x14ac:dyDescent="0.25">
      <c r="A34" s="69" t="str" cm="1">
        <f t="array" ref="A34">IF(tblDecarbLevers_S2[[#This Row],[Lever Name]]="","","L"&amp;TEXT(ROW()-ROW(tblDecarbLevers_S2[#Headers]),"000"))</f>
        <v/>
      </c>
      <c r="B34" s="70"/>
      <c r="C34" s="61"/>
      <c r="D34" s="70"/>
      <c r="E34" s="62"/>
      <c r="F34" s="63"/>
      <c r="G34" s="64" cm="1">
        <f t="array" ref="G34">IF(tblDecarbLevers_S2[[#This Row],[Lever Name]]="",0,MAX(0,SUMPRODUCT(IF(((tblActivity[Scope]=tblDecarbLevers_S2[[#This Row],[Scope]])+(tblDecarbLevers_S2[[#This Row],[Scope]]="Scope 1 and 2")&gt;0)*((tblActivity[Source]=tblDecarbLevers_S2[[#This Row],[Emission Source]])+(tblDecarbLevers_S2[[#This Row],[Emission Source]]="All Sources")+((tblDecarbLevers_S2[[#This Row],[Emission Source]]="Liquid Fuels")*((tblActivity[Source]="Petrol")+(tblActivity[Source]="Diesel")))+((tblDecarbLevers_S2[[#This Row],[Emission Source]]="Heat &amp; Steam")*((tblActivity[Source]="Purchased Heating")+(tblActivity[Source]="Purchased Steam")))&gt;0),tblActivity[tCO2e],0))-tblDecarbLevers_S2[[#This Row],[Less: Claimed by Earlier Levers (tCO2e)]]))</f>
        <v>0</v>
      </c>
      <c r="H34" s="64" cm="1">
        <f t="array" ref="H34">_xlfn.LET(_xlpm.k,ROW()-ROW(tblDecarbLevers_S2[#Headers]),IF(OR(tblDecarbLevers_S2[[#This Row],[Lever Name]]="",_xlpm.k=1),0,_xlfn.LET(_xlpm.rScope,INDEX(tblDecarbLevers_S2[Scope],1):INDEX(tblDecarbLevers_S2[Scope],_xlpm.k-1),_xlpm.rSource,INDEX(tblDecarbLevers_S2[Emission Source],1):INDEX(tblDecarbLevers_S2[Emission Source],_xlpm.k-1),_xlpm.rImpact,INDEX(tblDecarbLevers_S2[Calculated Impact (tCO2e)],1):INDEX(tblDecarbLevers_S2[Calculated Impact (tCO2e)],_xlpm.k-1),SUMPRODUCT(((_xlpm.rScope=tblDecarbLevers_S2[[#This Row],[Scope]])+(tblDecarbLevers_S2[[#This Row],[Scope]]="Scope 1 and 2")+(_xlpm.rScope="Scope 1 and 2")&gt;0)*((_xlpm.rSource=tblDecarbLevers_S2[[#This Row],[Emission Source]])+(tblDecarbLevers_S2[[#This Row],[Emission Source]]="All Sources")+(_xlpm.rSource="All Sources")+((tblDecarbLevers_S2[[#This Row],[Emission Source]]="Liquid Fuels")*((_xlpm.rSource="Petrol")+(_xlpm.rSource="Diesel")))+((_xlpm.rSource="Liquid Fuels")*((tblDecarbLevers_S2[[#This Row],[Emission Source]]="Petrol")+(tblDecarbLevers_S2[[#This Row],[Emission Source]]="Diesel")))+((tblDecarbLevers_S2[[#This Row],[Emission Source]]="Heat &amp; Steam")*((_xlpm.rSource="Purchased Heating")+(_xlpm.rSource="Purchased Steam")))+((_xlpm.rSource="Heat &amp; Steam")*((tblDecarbLevers_S2[[#This Row],[Emission Source]]="Purchased Heating")+(tblDecarbLevers_S2[[#This Row],[Emission Source]]="Purchased Steam")))&gt;0)*_xlpm.rImpact))))</f>
        <v>0</v>
      </c>
      <c r="I34" s="65">
        <f>IF(OR(tblDecarbLevers_S2[[#This Row],[Lever Name]]="",tblDecarbLevers_S2[[#This Row],[Impact Unit]]=""),0,IF(tblDecarbLevers_S2[[#This Row],[Impact Unit]]="Percentage",tblDecarbLevers_S2[[#This Row],[Applicable Baseline Emissions (tCO2e)]]*N(tblDecarbLevers_S2[[#This Row],[Impact Input]])/100,MIN(N(tblDecarbLevers_S2[[#This Row],[Impact Input]]),tblDecarbLevers_S2[[#This Row],[Applicable Baseline Emissions (tCO2e)]])))</f>
        <v>0</v>
      </c>
      <c r="J34" s="71" cm="1">
        <f t="array" ref="J34">IF(OR(tblDecarbLevers_S2[[#This Row],[Lever Name]]="",tblTarget[Required Reduction (tCO2e)]&lt;=0),0,tblDecarbLevers_S2[[#This Row],[Calculated Impact (tCO2e)]]/tblTarget[Required Reduction (tCO2e)])</f>
        <v>0</v>
      </c>
      <c r="K34" s="65" cm="1">
        <f t="array" ref="K34">IF(tblDecarbLevers_S2[[#This Row],[Lever Name]]="",0,ROUND(tblTarget[Baseline Emissions (tCO2e)]-SUM(INDEX(tblDecarbLevers_S2[Calculated Impact (tCO2e)],1):tblDecarbLevers_S2[[#This Row],[Calculated Impact (tCO2e)]]),6))</f>
        <v>0</v>
      </c>
      <c r="L34" s="68"/>
      <c r="N34" s="41">
        <v>4</v>
      </c>
      <c r="O34" s="44" t="str" cm="1">
        <f t="array" ref="O34">IF(INDEX(tblDecarbLevers_S2[Lever Name],tblWaterfall_S2[[#This Row],[Sequence]])="","",INDEX(tblDecarbLevers_S2[Lever Name],tblWaterfall_S2[[#This Row],[Sequence]]))</f>
        <v/>
      </c>
      <c r="P34" s="36" t="str" cm="1">
        <f t="array" ref="P34">IF(tblWaterfall_S2[[#This Row],[Waterfall Category]]="","",IF(INDEX(tblDecarbLevers_S2[Calculated Impact (tCO2e)],tblWaterfall_S2[[#This Row],[Sequence]])&lt;0,"Emission Increase","Reduction Lever"))</f>
        <v/>
      </c>
      <c r="Q34" s="50" t="str" cm="1">
        <f t="array" ref="Q34">IF(tblWaterfall_S2[[#This Row],[Waterfall Category]]="","",-INDEX(tblDecarbLevers_S2[Calculated Impact (tCO2e)],tblWaterfall_S2[[#This Row],[Sequence]]))</f>
        <v/>
      </c>
      <c r="R34" s="51" t="str" cm="1">
        <f t="array" ref="R34">IF(tblWaterfall_S2[[#This Row],[Waterfall Category]]="","",IF(OR(tblWaterfall_S2[[#This Row],[Waterfall Type]]="Baseline",tblWaterfall_S2[[#This Row],[Waterfall Type]]="Planned Residual",tblWaterfall_S2[[#This Row],[Waterfall Type]]="Target"),0,IF(tblTarget[Required Reduction (tCO2e)]&lt;=0,0,-tblWaterfall_S2[[#This Row],[Amount (tCO2e)]]/tblTarget[Required Reduction (tCO2e)])))</f>
        <v/>
      </c>
      <c r="S34" s="36" t="str" cm="1">
        <f t="array" ref="S34">IF(tblWaterfall_S2[[#This Row],[Waterfall Category]]="","",INDEX(tblDecarbLevers_S2[Scope],tblWaterfall_S2[[#This Row],[Sequence]]))</f>
        <v/>
      </c>
    </row>
    <row r="35" spans="1:19" ht="15" customHeight="1" x14ac:dyDescent="0.25">
      <c r="A35" s="69" t="str" cm="1">
        <f t="array" ref="A35">IF(tblDecarbLevers_S2[[#This Row],[Lever Name]]="","","L"&amp;TEXT(ROW()-ROW(tblDecarbLevers_S2[#Headers]),"000"))</f>
        <v/>
      </c>
      <c r="B35" s="70"/>
      <c r="C35" s="61"/>
      <c r="D35" s="70"/>
      <c r="E35" s="62"/>
      <c r="F35" s="63"/>
      <c r="G35" s="64" cm="1">
        <f t="array" ref="G35">IF(tblDecarbLevers_S2[[#This Row],[Lever Name]]="",0,MAX(0,SUMPRODUCT(IF(((tblActivity[Scope]=tblDecarbLevers_S2[[#This Row],[Scope]])+(tblDecarbLevers_S2[[#This Row],[Scope]]="Scope 1 and 2")&gt;0)*((tblActivity[Source]=tblDecarbLevers_S2[[#This Row],[Emission Source]])+(tblDecarbLevers_S2[[#This Row],[Emission Source]]="All Sources")+((tblDecarbLevers_S2[[#This Row],[Emission Source]]="Liquid Fuels")*((tblActivity[Source]="Petrol")+(tblActivity[Source]="Diesel")))+((tblDecarbLevers_S2[[#This Row],[Emission Source]]="Heat &amp; Steam")*((tblActivity[Source]="Purchased Heating")+(tblActivity[Source]="Purchased Steam")))&gt;0),tblActivity[tCO2e],0))-tblDecarbLevers_S2[[#This Row],[Less: Claimed by Earlier Levers (tCO2e)]]))</f>
        <v>0</v>
      </c>
      <c r="H35" s="64" cm="1">
        <f t="array" ref="H35">_xlfn.LET(_xlpm.k,ROW()-ROW(tblDecarbLevers_S2[#Headers]),IF(OR(tblDecarbLevers_S2[[#This Row],[Lever Name]]="",_xlpm.k=1),0,_xlfn.LET(_xlpm.rScope,INDEX(tblDecarbLevers_S2[Scope],1):INDEX(tblDecarbLevers_S2[Scope],_xlpm.k-1),_xlpm.rSource,INDEX(tblDecarbLevers_S2[Emission Source],1):INDEX(tblDecarbLevers_S2[Emission Source],_xlpm.k-1),_xlpm.rImpact,INDEX(tblDecarbLevers_S2[Calculated Impact (tCO2e)],1):INDEX(tblDecarbLevers_S2[Calculated Impact (tCO2e)],_xlpm.k-1),SUMPRODUCT(((_xlpm.rScope=tblDecarbLevers_S2[[#This Row],[Scope]])+(tblDecarbLevers_S2[[#This Row],[Scope]]="Scope 1 and 2")+(_xlpm.rScope="Scope 1 and 2")&gt;0)*((_xlpm.rSource=tblDecarbLevers_S2[[#This Row],[Emission Source]])+(tblDecarbLevers_S2[[#This Row],[Emission Source]]="All Sources")+(_xlpm.rSource="All Sources")+((tblDecarbLevers_S2[[#This Row],[Emission Source]]="Liquid Fuels")*((_xlpm.rSource="Petrol")+(_xlpm.rSource="Diesel")))+((_xlpm.rSource="Liquid Fuels")*((tblDecarbLevers_S2[[#This Row],[Emission Source]]="Petrol")+(tblDecarbLevers_S2[[#This Row],[Emission Source]]="Diesel")))+((tblDecarbLevers_S2[[#This Row],[Emission Source]]="Heat &amp; Steam")*((_xlpm.rSource="Purchased Heating")+(_xlpm.rSource="Purchased Steam")))+((_xlpm.rSource="Heat &amp; Steam")*((tblDecarbLevers_S2[[#This Row],[Emission Source]]="Purchased Heating")+(tblDecarbLevers_S2[[#This Row],[Emission Source]]="Purchased Steam")))&gt;0)*_xlpm.rImpact))))</f>
        <v>0</v>
      </c>
      <c r="I35" s="65">
        <f>IF(OR(tblDecarbLevers_S2[[#This Row],[Lever Name]]="",tblDecarbLevers_S2[[#This Row],[Impact Unit]]=""),0,IF(tblDecarbLevers_S2[[#This Row],[Impact Unit]]="Percentage",tblDecarbLevers_S2[[#This Row],[Applicable Baseline Emissions (tCO2e)]]*N(tblDecarbLevers_S2[[#This Row],[Impact Input]])/100,MIN(N(tblDecarbLevers_S2[[#This Row],[Impact Input]]),tblDecarbLevers_S2[[#This Row],[Applicable Baseline Emissions (tCO2e)]])))</f>
        <v>0</v>
      </c>
      <c r="J35" s="71" cm="1">
        <f t="array" ref="J35">IF(OR(tblDecarbLevers_S2[[#This Row],[Lever Name]]="",tblTarget[Required Reduction (tCO2e)]&lt;=0),0,tblDecarbLevers_S2[[#This Row],[Calculated Impact (tCO2e)]]/tblTarget[Required Reduction (tCO2e)])</f>
        <v>0</v>
      </c>
      <c r="K35" s="65" cm="1">
        <f t="array" ref="K35">IF(tblDecarbLevers_S2[[#This Row],[Lever Name]]="",0,ROUND(tblTarget[Baseline Emissions (tCO2e)]-SUM(INDEX(tblDecarbLevers_S2[Calculated Impact (tCO2e)],1):tblDecarbLevers_S2[[#This Row],[Calculated Impact (tCO2e)]]),6))</f>
        <v>0</v>
      </c>
      <c r="L35" s="68"/>
      <c r="N35" s="41">
        <v>5</v>
      </c>
      <c r="O35" s="44" t="str" cm="1">
        <f t="array" ref="O35">IF(INDEX(tblDecarbLevers_S2[Lever Name],tblWaterfall_S2[[#This Row],[Sequence]])="","",INDEX(tblDecarbLevers_S2[Lever Name],tblWaterfall_S2[[#This Row],[Sequence]]))</f>
        <v/>
      </c>
      <c r="P35" s="36" t="str" cm="1">
        <f t="array" ref="P35">IF(tblWaterfall_S2[[#This Row],[Waterfall Category]]="","",IF(INDEX(tblDecarbLevers_S2[Calculated Impact (tCO2e)],tblWaterfall_S2[[#This Row],[Sequence]])&lt;0,"Emission Increase","Reduction Lever"))</f>
        <v/>
      </c>
      <c r="Q35" s="50" t="str" cm="1">
        <f t="array" ref="Q35">IF(tblWaterfall_S2[[#This Row],[Waterfall Category]]="","",-INDEX(tblDecarbLevers_S2[Calculated Impact (tCO2e)],tblWaterfall_S2[[#This Row],[Sequence]]))</f>
        <v/>
      </c>
      <c r="R35" s="51" t="str" cm="1">
        <f t="array" ref="R35">IF(tblWaterfall_S2[[#This Row],[Waterfall Category]]="","",IF(OR(tblWaterfall_S2[[#This Row],[Waterfall Type]]="Baseline",tblWaterfall_S2[[#This Row],[Waterfall Type]]="Planned Residual",tblWaterfall_S2[[#This Row],[Waterfall Type]]="Target"),0,IF(tblTarget[Required Reduction (tCO2e)]&lt;=0,0,-tblWaterfall_S2[[#This Row],[Amount (tCO2e)]]/tblTarget[Required Reduction (tCO2e)])))</f>
        <v/>
      </c>
      <c r="S35" s="36" t="str" cm="1">
        <f t="array" ref="S35">IF(tblWaterfall_S2[[#This Row],[Waterfall Category]]="","",INDEX(tblDecarbLevers_S2[Scope],tblWaterfall_S2[[#This Row],[Sequence]]))</f>
        <v/>
      </c>
    </row>
    <row r="36" spans="1:19" ht="15" customHeight="1" x14ac:dyDescent="0.25">
      <c r="A36" s="69" t="str" cm="1">
        <f t="array" ref="A36">IF(tblDecarbLevers_S2[[#This Row],[Lever Name]]="","","L"&amp;TEXT(ROW()-ROW(tblDecarbLevers_S2[#Headers]),"000"))</f>
        <v/>
      </c>
      <c r="B36" s="70"/>
      <c r="C36" s="61"/>
      <c r="D36" s="70"/>
      <c r="E36" s="62"/>
      <c r="F36" s="63"/>
      <c r="G36" s="64" cm="1">
        <f t="array" ref="G36">IF(tblDecarbLevers_S2[[#This Row],[Lever Name]]="",0,MAX(0,SUMPRODUCT(IF(((tblActivity[Scope]=tblDecarbLevers_S2[[#This Row],[Scope]])+(tblDecarbLevers_S2[[#This Row],[Scope]]="Scope 1 and 2")&gt;0)*((tblActivity[Source]=tblDecarbLevers_S2[[#This Row],[Emission Source]])+(tblDecarbLevers_S2[[#This Row],[Emission Source]]="All Sources")+((tblDecarbLevers_S2[[#This Row],[Emission Source]]="Liquid Fuels")*((tblActivity[Source]="Petrol")+(tblActivity[Source]="Diesel")))+((tblDecarbLevers_S2[[#This Row],[Emission Source]]="Heat &amp; Steam")*((tblActivity[Source]="Purchased Heating")+(tblActivity[Source]="Purchased Steam")))&gt;0),tblActivity[tCO2e],0))-tblDecarbLevers_S2[[#This Row],[Less: Claimed by Earlier Levers (tCO2e)]]))</f>
        <v>0</v>
      </c>
      <c r="H36" s="64" cm="1">
        <f t="array" ref="H36">_xlfn.LET(_xlpm.k,ROW()-ROW(tblDecarbLevers_S2[#Headers]),IF(OR(tblDecarbLevers_S2[[#This Row],[Lever Name]]="",_xlpm.k=1),0,_xlfn.LET(_xlpm.rScope,INDEX(tblDecarbLevers_S2[Scope],1):INDEX(tblDecarbLevers_S2[Scope],_xlpm.k-1),_xlpm.rSource,INDEX(tblDecarbLevers_S2[Emission Source],1):INDEX(tblDecarbLevers_S2[Emission Source],_xlpm.k-1),_xlpm.rImpact,INDEX(tblDecarbLevers_S2[Calculated Impact (tCO2e)],1):INDEX(tblDecarbLevers_S2[Calculated Impact (tCO2e)],_xlpm.k-1),SUMPRODUCT(((_xlpm.rScope=tblDecarbLevers_S2[[#This Row],[Scope]])+(tblDecarbLevers_S2[[#This Row],[Scope]]="Scope 1 and 2")+(_xlpm.rScope="Scope 1 and 2")&gt;0)*((_xlpm.rSource=tblDecarbLevers_S2[[#This Row],[Emission Source]])+(tblDecarbLevers_S2[[#This Row],[Emission Source]]="All Sources")+(_xlpm.rSource="All Sources")+((tblDecarbLevers_S2[[#This Row],[Emission Source]]="Liquid Fuels")*((_xlpm.rSource="Petrol")+(_xlpm.rSource="Diesel")))+((_xlpm.rSource="Liquid Fuels")*((tblDecarbLevers_S2[[#This Row],[Emission Source]]="Petrol")+(tblDecarbLevers_S2[[#This Row],[Emission Source]]="Diesel")))+((tblDecarbLevers_S2[[#This Row],[Emission Source]]="Heat &amp; Steam")*((_xlpm.rSource="Purchased Heating")+(_xlpm.rSource="Purchased Steam")))+((_xlpm.rSource="Heat &amp; Steam")*((tblDecarbLevers_S2[[#This Row],[Emission Source]]="Purchased Heating")+(tblDecarbLevers_S2[[#This Row],[Emission Source]]="Purchased Steam")))&gt;0)*_xlpm.rImpact))))</f>
        <v>0</v>
      </c>
      <c r="I36" s="65">
        <f>IF(OR(tblDecarbLevers_S2[[#This Row],[Lever Name]]="",tblDecarbLevers_S2[[#This Row],[Impact Unit]]=""),0,IF(tblDecarbLevers_S2[[#This Row],[Impact Unit]]="Percentage",tblDecarbLevers_S2[[#This Row],[Applicable Baseline Emissions (tCO2e)]]*N(tblDecarbLevers_S2[[#This Row],[Impact Input]])/100,MIN(N(tblDecarbLevers_S2[[#This Row],[Impact Input]]),tblDecarbLevers_S2[[#This Row],[Applicable Baseline Emissions (tCO2e)]])))</f>
        <v>0</v>
      </c>
      <c r="J36" s="71" cm="1">
        <f t="array" ref="J36">IF(OR(tblDecarbLevers_S2[[#This Row],[Lever Name]]="",tblTarget[Required Reduction (tCO2e)]&lt;=0),0,tblDecarbLevers_S2[[#This Row],[Calculated Impact (tCO2e)]]/tblTarget[Required Reduction (tCO2e)])</f>
        <v>0</v>
      </c>
      <c r="K36" s="65" cm="1">
        <f t="array" ref="K36">IF(tblDecarbLevers_S2[[#This Row],[Lever Name]]="",0,ROUND(tblTarget[Baseline Emissions (tCO2e)]-SUM(INDEX(tblDecarbLevers_S2[Calculated Impact (tCO2e)],1):tblDecarbLevers_S2[[#This Row],[Calculated Impact (tCO2e)]]),6))</f>
        <v>0</v>
      </c>
      <c r="L36" s="68"/>
      <c r="N36" s="41">
        <v>6</v>
      </c>
      <c r="O36" s="44" t="str" cm="1">
        <f t="array" ref="O36">IF(INDEX(tblDecarbLevers_S2[Lever Name],tblWaterfall_S2[[#This Row],[Sequence]])="","",INDEX(tblDecarbLevers_S2[Lever Name],tblWaterfall_S2[[#This Row],[Sequence]]))</f>
        <v/>
      </c>
      <c r="P36" s="36" t="str" cm="1">
        <f t="array" ref="P36">IF(tblWaterfall_S2[[#This Row],[Waterfall Category]]="","",IF(INDEX(tblDecarbLevers_S2[Calculated Impact (tCO2e)],tblWaterfall_S2[[#This Row],[Sequence]])&lt;0,"Emission Increase","Reduction Lever"))</f>
        <v/>
      </c>
      <c r="Q36" s="50" t="str" cm="1">
        <f t="array" ref="Q36">IF(tblWaterfall_S2[[#This Row],[Waterfall Category]]="","",-INDEX(tblDecarbLevers_S2[Calculated Impact (tCO2e)],tblWaterfall_S2[[#This Row],[Sequence]]))</f>
        <v/>
      </c>
      <c r="R36" s="51" t="str" cm="1">
        <f t="array" ref="R36">IF(tblWaterfall_S2[[#This Row],[Waterfall Category]]="","",IF(OR(tblWaterfall_S2[[#This Row],[Waterfall Type]]="Baseline",tblWaterfall_S2[[#This Row],[Waterfall Type]]="Planned Residual",tblWaterfall_S2[[#This Row],[Waterfall Type]]="Target"),0,IF(tblTarget[Required Reduction (tCO2e)]&lt;=0,0,-tblWaterfall_S2[[#This Row],[Amount (tCO2e)]]/tblTarget[Required Reduction (tCO2e)])))</f>
        <v/>
      </c>
      <c r="S36" s="36" t="str" cm="1">
        <f t="array" ref="S36">IF(tblWaterfall_S2[[#This Row],[Waterfall Category]]="","",INDEX(tblDecarbLevers_S2[Scope],tblWaterfall_S2[[#This Row],[Sequence]]))</f>
        <v/>
      </c>
    </row>
    <row r="37" spans="1:19" ht="15" customHeight="1" x14ac:dyDescent="0.25">
      <c r="A37" s="69" t="str" cm="1">
        <f t="array" ref="A37">IF(tblDecarbLevers_S2[[#This Row],[Lever Name]]="","","L"&amp;TEXT(ROW()-ROW(tblDecarbLevers_S2[#Headers]),"000"))</f>
        <v/>
      </c>
      <c r="B37" s="70"/>
      <c r="C37" s="61"/>
      <c r="D37" s="70"/>
      <c r="E37" s="62"/>
      <c r="F37" s="63"/>
      <c r="G37" s="64" cm="1">
        <f t="array" ref="G37">IF(tblDecarbLevers_S2[[#This Row],[Lever Name]]="",0,MAX(0,SUMPRODUCT(IF(((tblActivity[Scope]=tblDecarbLevers_S2[[#This Row],[Scope]])+(tblDecarbLevers_S2[[#This Row],[Scope]]="Scope 1 and 2")&gt;0)*((tblActivity[Source]=tblDecarbLevers_S2[[#This Row],[Emission Source]])+(tblDecarbLevers_S2[[#This Row],[Emission Source]]="All Sources")+((tblDecarbLevers_S2[[#This Row],[Emission Source]]="Liquid Fuels")*((tblActivity[Source]="Petrol")+(tblActivity[Source]="Diesel")))+((tblDecarbLevers_S2[[#This Row],[Emission Source]]="Heat &amp; Steam")*((tblActivity[Source]="Purchased Heating")+(tblActivity[Source]="Purchased Steam")))&gt;0),tblActivity[tCO2e],0))-tblDecarbLevers_S2[[#This Row],[Less: Claimed by Earlier Levers (tCO2e)]]))</f>
        <v>0</v>
      </c>
      <c r="H37" s="64" cm="1">
        <f t="array" ref="H37">_xlfn.LET(_xlpm.k,ROW()-ROW(tblDecarbLevers_S2[#Headers]),IF(OR(tblDecarbLevers_S2[[#This Row],[Lever Name]]="",_xlpm.k=1),0,_xlfn.LET(_xlpm.rScope,INDEX(tblDecarbLevers_S2[Scope],1):INDEX(tblDecarbLevers_S2[Scope],_xlpm.k-1),_xlpm.rSource,INDEX(tblDecarbLevers_S2[Emission Source],1):INDEX(tblDecarbLevers_S2[Emission Source],_xlpm.k-1),_xlpm.rImpact,INDEX(tblDecarbLevers_S2[Calculated Impact (tCO2e)],1):INDEX(tblDecarbLevers_S2[Calculated Impact (tCO2e)],_xlpm.k-1),SUMPRODUCT(((_xlpm.rScope=tblDecarbLevers_S2[[#This Row],[Scope]])+(tblDecarbLevers_S2[[#This Row],[Scope]]="Scope 1 and 2")+(_xlpm.rScope="Scope 1 and 2")&gt;0)*((_xlpm.rSource=tblDecarbLevers_S2[[#This Row],[Emission Source]])+(tblDecarbLevers_S2[[#This Row],[Emission Source]]="All Sources")+(_xlpm.rSource="All Sources")+((tblDecarbLevers_S2[[#This Row],[Emission Source]]="Liquid Fuels")*((_xlpm.rSource="Petrol")+(_xlpm.rSource="Diesel")))+((_xlpm.rSource="Liquid Fuels")*((tblDecarbLevers_S2[[#This Row],[Emission Source]]="Petrol")+(tblDecarbLevers_S2[[#This Row],[Emission Source]]="Diesel")))+((tblDecarbLevers_S2[[#This Row],[Emission Source]]="Heat &amp; Steam")*((_xlpm.rSource="Purchased Heating")+(_xlpm.rSource="Purchased Steam")))+((_xlpm.rSource="Heat &amp; Steam")*((tblDecarbLevers_S2[[#This Row],[Emission Source]]="Purchased Heating")+(tblDecarbLevers_S2[[#This Row],[Emission Source]]="Purchased Steam")))&gt;0)*_xlpm.rImpact))))</f>
        <v>0</v>
      </c>
      <c r="I37" s="65">
        <f>IF(OR(tblDecarbLevers_S2[[#This Row],[Lever Name]]="",tblDecarbLevers_S2[[#This Row],[Impact Unit]]=""),0,IF(tblDecarbLevers_S2[[#This Row],[Impact Unit]]="Percentage",tblDecarbLevers_S2[[#This Row],[Applicable Baseline Emissions (tCO2e)]]*N(tblDecarbLevers_S2[[#This Row],[Impact Input]])/100,MIN(N(tblDecarbLevers_S2[[#This Row],[Impact Input]]),tblDecarbLevers_S2[[#This Row],[Applicable Baseline Emissions (tCO2e)]])))</f>
        <v>0</v>
      </c>
      <c r="J37" s="71" cm="1">
        <f t="array" ref="J37">IF(OR(tblDecarbLevers_S2[[#This Row],[Lever Name]]="",tblTarget[Required Reduction (tCO2e)]&lt;=0),0,tblDecarbLevers_S2[[#This Row],[Calculated Impact (tCO2e)]]/tblTarget[Required Reduction (tCO2e)])</f>
        <v>0</v>
      </c>
      <c r="K37" s="65" cm="1">
        <f t="array" ref="K37">IF(tblDecarbLevers_S2[[#This Row],[Lever Name]]="",0,ROUND(tblTarget[Baseline Emissions (tCO2e)]-SUM(INDEX(tblDecarbLevers_S2[Calculated Impact (tCO2e)],1):tblDecarbLevers_S2[[#This Row],[Calculated Impact (tCO2e)]]),6))</f>
        <v>0</v>
      </c>
      <c r="L37" s="68"/>
      <c r="N37" s="41">
        <v>7</v>
      </c>
      <c r="O37" s="44" t="str" cm="1">
        <f t="array" ref="O37">IF(INDEX(tblDecarbLevers_S2[Lever Name],tblWaterfall_S2[[#This Row],[Sequence]])="","",INDEX(tblDecarbLevers_S2[Lever Name],tblWaterfall_S2[[#This Row],[Sequence]]))</f>
        <v/>
      </c>
      <c r="P37" s="36" t="str" cm="1">
        <f t="array" ref="P37">IF(tblWaterfall_S2[[#This Row],[Waterfall Category]]="","",IF(INDEX(tblDecarbLevers_S2[Calculated Impact (tCO2e)],tblWaterfall_S2[[#This Row],[Sequence]])&lt;0,"Emission Increase","Reduction Lever"))</f>
        <v/>
      </c>
      <c r="Q37" s="50" t="str" cm="1">
        <f t="array" ref="Q37">IF(tblWaterfall_S2[[#This Row],[Waterfall Category]]="","",-INDEX(tblDecarbLevers_S2[Calculated Impact (tCO2e)],tblWaterfall_S2[[#This Row],[Sequence]]))</f>
        <v/>
      </c>
      <c r="R37" s="51" t="str" cm="1">
        <f t="array" ref="R37">IF(tblWaterfall_S2[[#This Row],[Waterfall Category]]="","",IF(OR(tblWaterfall_S2[[#This Row],[Waterfall Type]]="Baseline",tblWaterfall_S2[[#This Row],[Waterfall Type]]="Planned Residual",tblWaterfall_S2[[#This Row],[Waterfall Type]]="Target"),0,IF(tblTarget[Required Reduction (tCO2e)]&lt;=0,0,-tblWaterfall_S2[[#This Row],[Amount (tCO2e)]]/tblTarget[Required Reduction (tCO2e)])))</f>
        <v/>
      </c>
      <c r="S37" s="36" t="str" cm="1">
        <f t="array" ref="S37">IF(tblWaterfall_S2[[#This Row],[Waterfall Category]]="","",INDEX(tblDecarbLevers_S2[Scope],tblWaterfall_S2[[#This Row],[Sequence]]))</f>
        <v/>
      </c>
    </row>
    <row r="38" spans="1:19" ht="15" customHeight="1" x14ac:dyDescent="0.25">
      <c r="A38" s="69" t="str" cm="1">
        <f t="array" ref="A38">IF(tblDecarbLevers_S2[[#This Row],[Lever Name]]="","","L"&amp;TEXT(ROW()-ROW(tblDecarbLevers_S2[#Headers]),"000"))</f>
        <v/>
      </c>
      <c r="B38" s="70"/>
      <c r="C38" s="61"/>
      <c r="D38" s="70"/>
      <c r="E38" s="62"/>
      <c r="F38" s="63"/>
      <c r="G38" s="64" cm="1">
        <f t="array" ref="G38">IF(tblDecarbLevers_S2[[#This Row],[Lever Name]]="",0,MAX(0,SUMPRODUCT(IF(((tblActivity[Scope]=tblDecarbLevers_S2[[#This Row],[Scope]])+(tblDecarbLevers_S2[[#This Row],[Scope]]="Scope 1 and 2")&gt;0)*((tblActivity[Source]=tblDecarbLevers_S2[[#This Row],[Emission Source]])+(tblDecarbLevers_S2[[#This Row],[Emission Source]]="All Sources")+((tblDecarbLevers_S2[[#This Row],[Emission Source]]="Liquid Fuels")*((tblActivity[Source]="Petrol")+(tblActivity[Source]="Diesel")))+((tblDecarbLevers_S2[[#This Row],[Emission Source]]="Heat &amp; Steam")*((tblActivity[Source]="Purchased Heating")+(tblActivity[Source]="Purchased Steam")))&gt;0),tblActivity[tCO2e],0))-tblDecarbLevers_S2[[#This Row],[Less: Claimed by Earlier Levers (tCO2e)]]))</f>
        <v>0</v>
      </c>
      <c r="H38" s="64" cm="1">
        <f t="array" ref="H38">_xlfn.LET(_xlpm.k,ROW()-ROW(tblDecarbLevers_S2[#Headers]),IF(OR(tblDecarbLevers_S2[[#This Row],[Lever Name]]="",_xlpm.k=1),0,_xlfn.LET(_xlpm.rScope,INDEX(tblDecarbLevers_S2[Scope],1):INDEX(tblDecarbLevers_S2[Scope],_xlpm.k-1),_xlpm.rSource,INDEX(tblDecarbLevers_S2[Emission Source],1):INDEX(tblDecarbLevers_S2[Emission Source],_xlpm.k-1),_xlpm.rImpact,INDEX(tblDecarbLevers_S2[Calculated Impact (tCO2e)],1):INDEX(tblDecarbLevers_S2[Calculated Impact (tCO2e)],_xlpm.k-1),SUMPRODUCT(((_xlpm.rScope=tblDecarbLevers_S2[[#This Row],[Scope]])+(tblDecarbLevers_S2[[#This Row],[Scope]]="Scope 1 and 2")+(_xlpm.rScope="Scope 1 and 2")&gt;0)*((_xlpm.rSource=tblDecarbLevers_S2[[#This Row],[Emission Source]])+(tblDecarbLevers_S2[[#This Row],[Emission Source]]="All Sources")+(_xlpm.rSource="All Sources")+((tblDecarbLevers_S2[[#This Row],[Emission Source]]="Liquid Fuels")*((_xlpm.rSource="Petrol")+(_xlpm.rSource="Diesel")))+((_xlpm.rSource="Liquid Fuels")*((tblDecarbLevers_S2[[#This Row],[Emission Source]]="Petrol")+(tblDecarbLevers_S2[[#This Row],[Emission Source]]="Diesel")))+((tblDecarbLevers_S2[[#This Row],[Emission Source]]="Heat &amp; Steam")*((_xlpm.rSource="Purchased Heating")+(_xlpm.rSource="Purchased Steam")))+((_xlpm.rSource="Heat &amp; Steam")*((tblDecarbLevers_S2[[#This Row],[Emission Source]]="Purchased Heating")+(tblDecarbLevers_S2[[#This Row],[Emission Source]]="Purchased Steam")))&gt;0)*_xlpm.rImpact))))</f>
        <v>0</v>
      </c>
      <c r="I38" s="65">
        <f>IF(OR(tblDecarbLevers_S2[[#This Row],[Lever Name]]="",tblDecarbLevers_S2[[#This Row],[Impact Unit]]=""),0,IF(tblDecarbLevers_S2[[#This Row],[Impact Unit]]="Percentage",tblDecarbLevers_S2[[#This Row],[Applicable Baseline Emissions (tCO2e)]]*N(tblDecarbLevers_S2[[#This Row],[Impact Input]])/100,MIN(N(tblDecarbLevers_S2[[#This Row],[Impact Input]]),tblDecarbLevers_S2[[#This Row],[Applicable Baseline Emissions (tCO2e)]])))</f>
        <v>0</v>
      </c>
      <c r="J38" s="71" cm="1">
        <f t="array" ref="J38">IF(OR(tblDecarbLevers_S2[[#This Row],[Lever Name]]="",tblTarget[Required Reduction (tCO2e)]&lt;=0),0,tblDecarbLevers_S2[[#This Row],[Calculated Impact (tCO2e)]]/tblTarget[Required Reduction (tCO2e)])</f>
        <v>0</v>
      </c>
      <c r="K38" s="65" cm="1">
        <f t="array" ref="K38">IF(tblDecarbLevers_S2[[#This Row],[Lever Name]]="",0,ROUND(tblTarget[Baseline Emissions (tCO2e)]-SUM(INDEX(tblDecarbLevers_S2[Calculated Impact (tCO2e)],1):tblDecarbLevers_S2[[#This Row],[Calculated Impact (tCO2e)]]),6))</f>
        <v>0</v>
      </c>
      <c r="L38" s="68"/>
      <c r="N38" s="41">
        <v>8</v>
      </c>
      <c r="O38" s="44" t="str" cm="1">
        <f t="array" ref="O38">IF(INDEX(tblDecarbLevers_S2[Lever Name],tblWaterfall_S2[[#This Row],[Sequence]])="","",INDEX(tblDecarbLevers_S2[Lever Name],tblWaterfall_S2[[#This Row],[Sequence]]))</f>
        <v/>
      </c>
      <c r="P38" s="36" t="str" cm="1">
        <f t="array" ref="P38">IF(tblWaterfall_S2[[#This Row],[Waterfall Category]]="","",IF(INDEX(tblDecarbLevers_S2[Calculated Impact (tCO2e)],tblWaterfall_S2[[#This Row],[Sequence]])&lt;0,"Emission Increase","Reduction Lever"))</f>
        <v/>
      </c>
      <c r="Q38" s="50" t="str" cm="1">
        <f t="array" ref="Q38">IF(tblWaterfall_S2[[#This Row],[Waterfall Category]]="","",-INDEX(tblDecarbLevers_S2[Calculated Impact (tCO2e)],tblWaterfall_S2[[#This Row],[Sequence]]))</f>
        <v/>
      </c>
      <c r="R38" s="51" t="str" cm="1">
        <f t="array" ref="R38">IF(tblWaterfall_S2[[#This Row],[Waterfall Category]]="","",IF(OR(tblWaterfall_S2[[#This Row],[Waterfall Type]]="Baseline",tblWaterfall_S2[[#This Row],[Waterfall Type]]="Planned Residual",tblWaterfall_S2[[#This Row],[Waterfall Type]]="Target"),0,IF(tblTarget[Required Reduction (tCO2e)]&lt;=0,0,-tblWaterfall_S2[[#This Row],[Amount (tCO2e)]]/tblTarget[Required Reduction (tCO2e)])))</f>
        <v/>
      </c>
      <c r="S38" s="36" t="str" cm="1">
        <f t="array" ref="S38">IF(tblWaterfall_S2[[#This Row],[Waterfall Category]]="","",INDEX(tblDecarbLevers_S2[Scope],tblWaterfall_S2[[#This Row],[Sequence]]))</f>
        <v/>
      </c>
    </row>
    <row r="39" spans="1:19" ht="15" customHeight="1" x14ac:dyDescent="0.25">
      <c r="A39" s="69" t="str" cm="1">
        <f t="array" ref="A39">IF(tblDecarbLevers_S2[[#This Row],[Lever Name]]="","","L"&amp;TEXT(ROW()-ROW(tblDecarbLevers_S2[#Headers]),"000"))</f>
        <v/>
      </c>
      <c r="B39" s="70"/>
      <c r="C39" s="61"/>
      <c r="D39" s="70"/>
      <c r="E39" s="62"/>
      <c r="F39" s="63"/>
      <c r="G39" s="64" cm="1">
        <f t="array" ref="G39">IF(tblDecarbLevers_S2[[#This Row],[Lever Name]]="",0,MAX(0,SUMPRODUCT(IF(((tblActivity[Scope]=tblDecarbLevers_S2[[#This Row],[Scope]])+(tblDecarbLevers_S2[[#This Row],[Scope]]="Scope 1 and 2")&gt;0)*((tblActivity[Source]=tblDecarbLevers_S2[[#This Row],[Emission Source]])+(tblDecarbLevers_S2[[#This Row],[Emission Source]]="All Sources")+((tblDecarbLevers_S2[[#This Row],[Emission Source]]="Liquid Fuels")*((tblActivity[Source]="Petrol")+(tblActivity[Source]="Diesel")))+((tblDecarbLevers_S2[[#This Row],[Emission Source]]="Heat &amp; Steam")*((tblActivity[Source]="Purchased Heating")+(tblActivity[Source]="Purchased Steam")))&gt;0),tblActivity[tCO2e],0))-tblDecarbLevers_S2[[#This Row],[Less: Claimed by Earlier Levers (tCO2e)]]))</f>
        <v>0</v>
      </c>
      <c r="H39" s="64" cm="1">
        <f t="array" ref="H39">_xlfn.LET(_xlpm.k,ROW()-ROW(tblDecarbLevers_S2[#Headers]),IF(OR(tblDecarbLevers_S2[[#This Row],[Lever Name]]="",_xlpm.k=1),0,_xlfn.LET(_xlpm.rScope,INDEX(tblDecarbLevers_S2[Scope],1):INDEX(tblDecarbLevers_S2[Scope],_xlpm.k-1),_xlpm.rSource,INDEX(tblDecarbLevers_S2[Emission Source],1):INDEX(tblDecarbLevers_S2[Emission Source],_xlpm.k-1),_xlpm.rImpact,INDEX(tblDecarbLevers_S2[Calculated Impact (tCO2e)],1):INDEX(tblDecarbLevers_S2[Calculated Impact (tCO2e)],_xlpm.k-1),SUMPRODUCT(((_xlpm.rScope=tblDecarbLevers_S2[[#This Row],[Scope]])+(tblDecarbLevers_S2[[#This Row],[Scope]]="Scope 1 and 2")+(_xlpm.rScope="Scope 1 and 2")&gt;0)*((_xlpm.rSource=tblDecarbLevers_S2[[#This Row],[Emission Source]])+(tblDecarbLevers_S2[[#This Row],[Emission Source]]="All Sources")+(_xlpm.rSource="All Sources")+((tblDecarbLevers_S2[[#This Row],[Emission Source]]="Liquid Fuels")*((_xlpm.rSource="Petrol")+(_xlpm.rSource="Diesel")))+((_xlpm.rSource="Liquid Fuels")*((tblDecarbLevers_S2[[#This Row],[Emission Source]]="Petrol")+(tblDecarbLevers_S2[[#This Row],[Emission Source]]="Diesel")))+((tblDecarbLevers_S2[[#This Row],[Emission Source]]="Heat &amp; Steam")*((_xlpm.rSource="Purchased Heating")+(_xlpm.rSource="Purchased Steam")))+((_xlpm.rSource="Heat &amp; Steam")*((tblDecarbLevers_S2[[#This Row],[Emission Source]]="Purchased Heating")+(tblDecarbLevers_S2[[#This Row],[Emission Source]]="Purchased Steam")))&gt;0)*_xlpm.rImpact))))</f>
        <v>0</v>
      </c>
      <c r="I39" s="65">
        <f>IF(OR(tblDecarbLevers_S2[[#This Row],[Lever Name]]="",tblDecarbLevers_S2[[#This Row],[Impact Unit]]=""),0,IF(tblDecarbLevers_S2[[#This Row],[Impact Unit]]="Percentage",tblDecarbLevers_S2[[#This Row],[Applicable Baseline Emissions (tCO2e)]]*N(tblDecarbLevers_S2[[#This Row],[Impact Input]])/100,MIN(N(tblDecarbLevers_S2[[#This Row],[Impact Input]]),tblDecarbLevers_S2[[#This Row],[Applicable Baseline Emissions (tCO2e)]])))</f>
        <v>0</v>
      </c>
      <c r="J39" s="71" cm="1">
        <f t="array" ref="J39">IF(OR(tblDecarbLevers_S2[[#This Row],[Lever Name]]="",tblTarget[Required Reduction (tCO2e)]&lt;=0),0,tblDecarbLevers_S2[[#This Row],[Calculated Impact (tCO2e)]]/tblTarget[Required Reduction (tCO2e)])</f>
        <v>0</v>
      </c>
      <c r="K39" s="65" cm="1">
        <f t="array" ref="K39">IF(tblDecarbLevers_S2[[#This Row],[Lever Name]]="",0,ROUND(tblTarget[Baseline Emissions (tCO2e)]-SUM(INDEX(tblDecarbLevers_S2[Calculated Impact (tCO2e)],1):tblDecarbLevers_S2[[#This Row],[Calculated Impact (tCO2e)]]),6))</f>
        <v>0</v>
      </c>
      <c r="L39" s="68"/>
      <c r="N39" s="41">
        <v>9</v>
      </c>
      <c r="O39" s="44" t="str" cm="1">
        <f t="array" ref="O39">IF(INDEX(tblDecarbLevers_S2[Lever Name],tblWaterfall_S2[[#This Row],[Sequence]])="","",INDEX(tblDecarbLevers_S2[Lever Name],tblWaterfall_S2[[#This Row],[Sequence]]))</f>
        <v/>
      </c>
      <c r="P39" s="36" t="str" cm="1">
        <f t="array" ref="P39">IF(tblWaterfall_S2[[#This Row],[Waterfall Category]]="","",IF(INDEX(tblDecarbLevers_S2[Calculated Impact (tCO2e)],tblWaterfall_S2[[#This Row],[Sequence]])&lt;0,"Emission Increase","Reduction Lever"))</f>
        <v/>
      </c>
      <c r="Q39" s="50" t="str" cm="1">
        <f t="array" ref="Q39">IF(tblWaterfall_S2[[#This Row],[Waterfall Category]]="","",-INDEX(tblDecarbLevers_S2[Calculated Impact (tCO2e)],tblWaterfall_S2[[#This Row],[Sequence]]))</f>
        <v/>
      </c>
      <c r="R39" s="51" t="str" cm="1">
        <f t="array" ref="R39">IF(tblWaterfall_S2[[#This Row],[Waterfall Category]]="","",IF(OR(tblWaterfall_S2[[#This Row],[Waterfall Type]]="Baseline",tblWaterfall_S2[[#This Row],[Waterfall Type]]="Planned Residual",tblWaterfall_S2[[#This Row],[Waterfall Type]]="Target"),0,IF(tblTarget[Required Reduction (tCO2e)]&lt;=0,0,-tblWaterfall_S2[[#This Row],[Amount (tCO2e)]]/tblTarget[Required Reduction (tCO2e)])))</f>
        <v/>
      </c>
      <c r="S39" s="36" t="str" cm="1">
        <f t="array" ref="S39">IF(tblWaterfall_S2[[#This Row],[Waterfall Category]]="","",INDEX(tblDecarbLevers_S2[Scope],tblWaterfall_S2[[#This Row],[Sequence]]))</f>
        <v/>
      </c>
    </row>
    <row r="40" spans="1:19" ht="15" customHeight="1" x14ac:dyDescent="0.25">
      <c r="A40" s="69" t="str" cm="1">
        <f t="array" ref="A40">IF(tblDecarbLevers_S2[[#This Row],[Lever Name]]="","","L"&amp;TEXT(ROW()-ROW(tblDecarbLevers_S2[#Headers]),"000"))</f>
        <v/>
      </c>
      <c r="B40" s="70"/>
      <c r="C40" s="61"/>
      <c r="D40" s="70"/>
      <c r="E40" s="62"/>
      <c r="F40" s="63"/>
      <c r="G40" s="64" cm="1">
        <f t="array" ref="G40">IF(tblDecarbLevers_S2[[#This Row],[Lever Name]]="",0,MAX(0,SUMPRODUCT(IF(((tblActivity[Scope]=tblDecarbLevers_S2[[#This Row],[Scope]])+(tblDecarbLevers_S2[[#This Row],[Scope]]="Scope 1 and 2")&gt;0)*((tblActivity[Source]=tblDecarbLevers_S2[[#This Row],[Emission Source]])+(tblDecarbLevers_S2[[#This Row],[Emission Source]]="All Sources")+((tblDecarbLevers_S2[[#This Row],[Emission Source]]="Liquid Fuels")*((tblActivity[Source]="Petrol")+(tblActivity[Source]="Diesel")))+((tblDecarbLevers_S2[[#This Row],[Emission Source]]="Heat &amp; Steam")*((tblActivity[Source]="Purchased Heating")+(tblActivity[Source]="Purchased Steam")))&gt;0),tblActivity[tCO2e],0))-tblDecarbLevers_S2[[#This Row],[Less: Claimed by Earlier Levers (tCO2e)]]))</f>
        <v>0</v>
      </c>
      <c r="H40" s="64" cm="1">
        <f t="array" ref="H40">_xlfn.LET(_xlpm.k,ROW()-ROW(tblDecarbLevers_S2[#Headers]),IF(OR(tblDecarbLevers_S2[[#This Row],[Lever Name]]="",_xlpm.k=1),0,_xlfn.LET(_xlpm.rScope,INDEX(tblDecarbLevers_S2[Scope],1):INDEX(tblDecarbLevers_S2[Scope],_xlpm.k-1),_xlpm.rSource,INDEX(tblDecarbLevers_S2[Emission Source],1):INDEX(tblDecarbLevers_S2[Emission Source],_xlpm.k-1),_xlpm.rImpact,INDEX(tblDecarbLevers_S2[Calculated Impact (tCO2e)],1):INDEX(tblDecarbLevers_S2[Calculated Impact (tCO2e)],_xlpm.k-1),SUMPRODUCT(((_xlpm.rScope=tblDecarbLevers_S2[[#This Row],[Scope]])+(tblDecarbLevers_S2[[#This Row],[Scope]]="Scope 1 and 2")+(_xlpm.rScope="Scope 1 and 2")&gt;0)*((_xlpm.rSource=tblDecarbLevers_S2[[#This Row],[Emission Source]])+(tblDecarbLevers_S2[[#This Row],[Emission Source]]="All Sources")+(_xlpm.rSource="All Sources")+((tblDecarbLevers_S2[[#This Row],[Emission Source]]="Liquid Fuels")*((_xlpm.rSource="Petrol")+(_xlpm.rSource="Diesel")))+((_xlpm.rSource="Liquid Fuels")*((tblDecarbLevers_S2[[#This Row],[Emission Source]]="Petrol")+(tblDecarbLevers_S2[[#This Row],[Emission Source]]="Diesel")))+((tblDecarbLevers_S2[[#This Row],[Emission Source]]="Heat &amp; Steam")*((_xlpm.rSource="Purchased Heating")+(_xlpm.rSource="Purchased Steam")))+((_xlpm.rSource="Heat &amp; Steam")*((tblDecarbLevers_S2[[#This Row],[Emission Source]]="Purchased Heating")+(tblDecarbLevers_S2[[#This Row],[Emission Source]]="Purchased Steam")))&gt;0)*_xlpm.rImpact))))</f>
        <v>0</v>
      </c>
      <c r="I40" s="65">
        <f>IF(OR(tblDecarbLevers_S2[[#This Row],[Lever Name]]="",tblDecarbLevers_S2[[#This Row],[Impact Unit]]=""),0,IF(tblDecarbLevers_S2[[#This Row],[Impact Unit]]="Percentage",tblDecarbLevers_S2[[#This Row],[Applicable Baseline Emissions (tCO2e)]]*N(tblDecarbLevers_S2[[#This Row],[Impact Input]])/100,MIN(N(tblDecarbLevers_S2[[#This Row],[Impact Input]]),tblDecarbLevers_S2[[#This Row],[Applicable Baseline Emissions (tCO2e)]])))</f>
        <v>0</v>
      </c>
      <c r="J40" s="71" cm="1">
        <f t="array" ref="J40">IF(OR(tblDecarbLevers_S2[[#This Row],[Lever Name]]="",tblTarget[Required Reduction (tCO2e)]&lt;=0),0,tblDecarbLevers_S2[[#This Row],[Calculated Impact (tCO2e)]]/tblTarget[Required Reduction (tCO2e)])</f>
        <v>0</v>
      </c>
      <c r="K40" s="65" cm="1">
        <f t="array" ref="K40">IF(tblDecarbLevers_S2[[#This Row],[Lever Name]]="",0,ROUND(tblTarget[Baseline Emissions (tCO2e)]-SUM(INDEX(tblDecarbLevers_S2[Calculated Impact (tCO2e)],1):tblDecarbLevers_S2[[#This Row],[Calculated Impact (tCO2e)]]),6))</f>
        <v>0</v>
      </c>
      <c r="L40" s="68"/>
      <c r="N40" s="41">
        <v>10</v>
      </c>
      <c r="O40" s="44" t="str" cm="1">
        <f t="array" ref="O40">IF(INDEX(tblDecarbLevers_S2[Lever Name],tblWaterfall_S2[[#This Row],[Sequence]])="","",INDEX(tblDecarbLevers_S2[Lever Name],tblWaterfall_S2[[#This Row],[Sequence]]))</f>
        <v/>
      </c>
      <c r="P40" s="36" t="str" cm="1">
        <f t="array" ref="P40">IF(tblWaterfall_S2[[#This Row],[Waterfall Category]]="","",IF(INDEX(tblDecarbLevers_S2[Calculated Impact (tCO2e)],tblWaterfall_S2[[#This Row],[Sequence]])&lt;0,"Emission Increase","Reduction Lever"))</f>
        <v/>
      </c>
      <c r="Q40" s="50" t="str" cm="1">
        <f t="array" ref="Q40">IF(tblWaterfall_S2[[#This Row],[Waterfall Category]]="","",-INDEX(tblDecarbLevers_S2[Calculated Impact (tCO2e)],tblWaterfall_S2[[#This Row],[Sequence]]))</f>
        <v/>
      </c>
      <c r="R40" s="51" t="str" cm="1">
        <f t="array" ref="R40">IF(tblWaterfall_S2[[#This Row],[Waterfall Category]]="","",IF(OR(tblWaterfall_S2[[#This Row],[Waterfall Type]]="Baseline",tblWaterfall_S2[[#This Row],[Waterfall Type]]="Planned Residual",tblWaterfall_S2[[#This Row],[Waterfall Type]]="Target"),0,IF(tblTarget[Required Reduction (tCO2e)]&lt;=0,0,-tblWaterfall_S2[[#This Row],[Amount (tCO2e)]]/tblTarget[Required Reduction (tCO2e)])))</f>
        <v/>
      </c>
      <c r="S40" s="36" t="str" cm="1">
        <f t="array" ref="S40">IF(tblWaterfall_S2[[#This Row],[Waterfall Category]]="","",INDEX(tblDecarbLevers_S2[Scope],tblWaterfall_S2[[#This Row],[Sequence]]))</f>
        <v/>
      </c>
    </row>
    <row r="41" spans="1:19" ht="15" customHeight="1" x14ac:dyDescent="0.25">
      <c r="A41" s="69" t="str" cm="1">
        <f t="array" ref="A41">IF(tblDecarbLevers_S2[[#This Row],[Lever Name]]="","","L"&amp;TEXT(ROW()-ROW(tblDecarbLevers_S2[#Headers]),"000"))</f>
        <v/>
      </c>
      <c r="B41" s="70"/>
      <c r="C41" s="61"/>
      <c r="D41" s="70"/>
      <c r="E41" s="62"/>
      <c r="F41" s="63"/>
      <c r="G41" s="64" cm="1">
        <f t="array" ref="G41">IF(tblDecarbLevers_S2[[#This Row],[Lever Name]]="",0,MAX(0,SUMPRODUCT(IF(((tblActivity[Scope]=tblDecarbLevers_S2[[#This Row],[Scope]])+(tblDecarbLevers_S2[[#This Row],[Scope]]="Scope 1 and 2")&gt;0)*((tblActivity[Source]=tblDecarbLevers_S2[[#This Row],[Emission Source]])+(tblDecarbLevers_S2[[#This Row],[Emission Source]]="All Sources")+((tblDecarbLevers_S2[[#This Row],[Emission Source]]="Liquid Fuels")*((tblActivity[Source]="Petrol")+(tblActivity[Source]="Diesel")))+((tblDecarbLevers_S2[[#This Row],[Emission Source]]="Heat &amp; Steam")*((tblActivity[Source]="Purchased Heating")+(tblActivity[Source]="Purchased Steam")))&gt;0),tblActivity[tCO2e],0))-tblDecarbLevers_S2[[#This Row],[Less: Claimed by Earlier Levers (tCO2e)]]))</f>
        <v>0</v>
      </c>
      <c r="H41" s="64" cm="1">
        <f t="array" ref="H41">_xlfn.LET(_xlpm.k,ROW()-ROW(tblDecarbLevers_S2[#Headers]),IF(OR(tblDecarbLevers_S2[[#This Row],[Lever Name]]="",_xlpm.k=1),0,_xlfn.LET(_xlpm.rScope,INDEX(tblDecarbLevers_S2[Scope],1):INDEX(tblDecarbLevers_S2[Scope],_xlpm.k-1),_xlpm.rSource,INDEX(tblDecarbLevers_S2[Emission Source],1):INDEX(tblDecarbLevers_S2[Emission Source],_xlpm.k-1),_xlpm.rImpact,INDEX(tblDecarbLevers_S2[Calculated Impact (tCO2e)],1):INDEX(tblDecarbLevers_S2[Calculated Impact (tCO2e)],_xlpm.k-1),SUMPRODUCT(((_xlpm.rScope=tblDecarbLevers_S2[[#This Row],[Scope]])+(tblDecarbLevers_S2[[#This Row],[Scope]]="Scope 1 and 2")+(_xlpm.rScope="Scope 1 and 2")&gt;0)*((_xlpm.rSource=tblDecarbLevers_S2[[#This Row],[Emission Source]])+(tblDecarbLevers_S2[[#This Row],[Emission Source]]="All Sources")+(_xlpm.rSource="All Sources")+((tblDecarbLevers_S2[[#This Row],[Emission Source]]="Liquid Fuels")*((_xlpm.rSource="Petrol")+(_xlpm.rSource="Diesel")))+((_xlpm.rSource="Liquid Fuels")*((tblDecarbLevers_S2[[#This Row],[Emission Source]]="Petrol")+(tblDecarbLevers_S2[[#This Row],[Emission Source]]="Diesel")))+((tblDecarbLevers_S2[[#This Row],[Emission Source]]="Heat &amp; Steam")*((_xlpm.rSource="Purchased Heating")+(_xlpm.rSource="Purchased Steam")))+((_xlpm.rSource="Heat &amp; Steam")*((tblDecarbLevers_S2[[#This Row],[Emission Source]]="Purchased Heating")+(tblDecarbLevers_S2[[#This Row],[Emission Source]]="Purchased Steam")))&gt;0)*_xlpm.rImpact))))</f>
        <v>0</v>
      </c>
      <c r="I41" s="65">
        <f>IF(OR(tblDecarbLevers_S2[[#This Row],[Lever Name]]="",tblDecarbLevers_S2[[#This Row],[Impact Unit]]=""),0,IF(tblDecarbLevers_S2[[#This Row],[Impact Unit]]="Percentage",tblDecarbLevers_S2[[#This Row],[Applicable Baseline Emissions (tCO2e)]]*N(tblDecarbLevers_S2[[#This Row],[Impact Input]])/100,MIN(N(tblDecarbLevers_S2[[#This Row],[Impact Input]]),tblDecarbLevers_S2[[#This Row],[Applicable Baseline Emissions (tCO2e)]])))</f>
        <v>0</v>
      </c>
      <c r="J41" s="71" cm="1">
        <f t="array" ref="J41">IF(OR(tblDecarbLevers_S2[[#This Row],[Lever Name]]="",tblTarget[Required Reduction (tCO2e)]&lt;=0),0,tblDecarbLevers_S2[[#This Row],[Calculated Impact (tCO2e)]]/tblTarget[Required Reduction (tCO2e)])</f>
        <v>0</v>
      </c>
      <c r="K41" s="65" cm="1">
        <f t="array" ref="K41">IF(tblDecarbLevers_S2[[#This Row],[Lever Name]]="",0,ROUND(tblTarget[Baseline Emissions (tCO2e)]-SUM(INDEX(tblDecarbLevers_S2[Calculated Impact (tCO2e)],1):tblDecarbLevers_S2[[#This Row],[Calculated Impact (tCO2e)]]),6))</f>
        <v>0</v>
      </c>
      <c r="L41" s="68"/>
      <c r="N41" s="41">
        <v>11</v>
      </c>
      <c r="O41" s="44" t="str" cm="1">
        <f t="array" ref="O41">IF(INDEX(tblDecarbLevers_S2[Lever Name],tblWaterfall_S2[[#This Row],[Sequence]])="","",INDEX(tblDecarbLevers_S2[Lever Name],tblWaterfall_S2[[#This Row],[Sequence]]))</f>
        <v/>
      </c>
      <c r="P41" s="36" t="str" cm="1">
        <f t="array" ref="P41">IF(tblWaterfall_S2[[#This Row],[Waterfall Category]]="","",IF(INDEX(tblDecarbLevers_S2[Calculated Impact (tCO2e)],tblWaterfall_S2[[#This Row],[Sequence]])&lt;0,"Emission Increase","Reduction Lever"))</f>
        <v/>
      </c>
      <c r="Q41" s="50" t="str" cm="1">
        <f t="array" ref="Q41">IF(tblWaterfall_S2[[#This Row],[Waterfall Category]]="","",-INDEX(tblDecarbLevers_S2[Calculated Impact (tCO2e)],tblWaterfall_S2[[#This Row],[Sequence]]))</f>
        <v/>
      </c>
      <c r="R41" s="51" t="str" cm="1">
        <f t="array" ref="R41">IF(tblWaterfall_S2[[#This Row],[Waterfall Category]]="","",IF(OR(tblWaterfall_S2[[#This Row],[Waterfall Type]]="Baseline",tblWaterfall_S2[[#This Row],[Waterfall Type]]="Planned Residual",tblWaterfall_S2[[#This Row],[Waterfall Type]]="Target"),0,IF(tblTarget[Required Reduction (tCO2e)]&lt;=0,0,-tblWaterfall_S2[[#This Row],[Amount (tCO2e)]]/tblTarget[Required Reduction (tCO2e)])))</f>
        <v/>
      </c>
      <c r="S41" s="36" t="str" cm="1">
        <f t="array" ref="S41">IF(tblWaterfall_S2[[#This Row],[Waterfall Category]]="","",INDEX(tblDecarbLevers_S2[Scope],tblWaterfall_S2[[#This Row],[Sequence]]))</f>
        <v/>
      </c>
    </row>
    <row r="42" spans="1:19" ht="15" customHeight="1" x14ac:dyDescent="0.25">
      <c r="A42" s="69" t="str" cm="1">
        <f t="array" ref="A42">IF(tblDecarbLevers_S2[[#This Row],[Lever Name]]="","","L"&amp;TEXT(ROW()-ROW(tblDecarbLevers_S2[#Headers]),"000"))</f>
        <v/>
      </c>
      <c r="B42" s="70"/>
      <c r="C42" s="61"/>
      <c r="D42" s="70"/>
      <c r="E42" s="62"/>
      <c r="F42" s="63"/>
      <c r="G42" s="64" cm="1">
        <f t="array" ref="G42">IF(tblDecarbLevers_S2[[#This Row],[Lever Name]]="",0,MAX(0,SUMPRODUCT(IF(((tblActivity[Scope]=tblDecarbLevers_S2[[#This Row],[Scope]])+(tblDecarbLevers_S2[[#This Row],[Scope]]="Scope 1 and 2")&gt;0)*((tblActivity[Source]=tblDecarbLevers_S2[[#This Row],[Emission Source]])+(tblDecarbLevers_S2[[#This Row],[Emission Source]]="All Sources")+((tblDecarbLevers_S2[[#This Row],[Emission Source]]="Liquid Fuels")*((tblActivity[Source]="Petrol")+(tblActivity[Source]="Diesel")))+((tblDecarbLevers_S2[[#This Row],[Emission Source]]="Heat &amp; Steam")*((tblActivity[Source]="Purchased Heating")+(tblActivity[Source]="Purchased Steam")))&gt;0),tblActivity[tCO2e],0))-tblDecarbLevers_S2[[#This Row],[Less: Claimed by Earlier Levers (tCO2e)]]))</f>
        <v>0</v>
      </c>
      <c r="H42" s="64" cm="1">
        <f t="array" ref="H42">_xlfn.LET(_xlpm.k,ROW()-ROW(tblDecarbLevers_S2[#Headers]),IF(OR(tblDecarbLevers_S2[[#This Row],[Lever Name]]="",_xlpm.k=1),0,_xlfn.LET(_xlpm.rScope,INDEX(tblDecarbLevers_S2[Scope],1):INDEX(tblDecarbLevers_S2[Scope],_xlpm.k-1),_xlpm.rSource,INDEX(tblDecarbLevers_S2[Emission Source],1):INDEX(tblDecarbLevers_S2[Emission Source],_xlpm.k-1),_xlpm.rImpact,INDEX(tblDecarbLevers_S2[Calculated Impact (tCO2e)],1):INDEX(tblDecarbLevers_S2[Calculated Impact (tCO2e)],_xlpm.k-1),SUMPRODUCT(((_xlpm.rScope=tblDecarbLevers_S2[[#This Row],[Scope]])+(tblDecarbLevers_S2[[#This Row],[Scope]]="Scope 1 and 2")+(_xlpm.rScope="Scope 1 and 2")&gt;0)*((_xlpm.rSource=tblDecarbLevers_S2[[#This Row],[Emission Source]])+(tblDecarbLevers_S2[[#This Row],[Emission Source]]="All Sources")+(_xlpm.rSource="All Sources")+((tblDecarbLevers_S2[[#This Row],[Emission Source]]="Liquid Fuels")*((_xlpm.rSource="Petrol")+(_xlpm.rSource="Diesel")))+((_xlpm.rSource="Liquid Fuels")*((tblDecarbLevers_S2[[#This Row],[Emission Source]]="Petrol")+(tblDecarbLevers_S2[[#This Row],[Emission Source]]="Diesel")))+((tblDecarbLevers_S2[[#This Row],[Emission Source]]="Heat &amp; Steam")*((_xlpm.rSource="Purchased Heating")+(_xlpm.rSource="Purchased Steam")))+((_xlpm.rSource="Heat &amp; Steam")*((tblDecarbLevers_S2[[#This Row],[Emission Source]]="Purchased Heating")+(tblDecarbLevers_S2[[#This Row],[Emission Source]]="Purchased Steam")))&gt;0)*_xlpm.rImpact))))</f>
        <v>0</v>
      </c>
      <c r="I42" s="65">
        <f>IF(OR(tblDecarbLevers_S2[[#This Row],[Lever Name]]="",tblDecarbLevers_S2[[#This Row],[Impact Unit]]=""),0,IF(tblDecarbLevers_S2[[#This Row],[Impact Unit]]="Percentage",tblDecarbLevers_S2[[#This Row],[Applicable Baseline Emissions (tCO2e)]]*N(tblDecarbLevers_S2[[#This Row],[Impact Input]])/100,MIN(N(tblDecarbLevers_S2[[#This Row],[Impact Input]]),tblDecarbLevers_S2[[#This Row],[Applicable Baseline Emissions (tCO2e)]])))</f>
        <v>0</v>
      </c>
      <c r="J42" s="71" cm="1">
        <f t="array" ref="J42">IF(OR(tblDecarbLevers_S2[[#This Row],[Lever Name]]="",tblTarget[Required Reduction (tCO2e)]&lt;=0),0,tblDecarbLevers_S2[[#This Row],[Calculated Impact (tCO2e)]]/tblTarget[Required Reduction (tCO2e)])</f>
        <v>0</v>
      </c>
      <c r="K42" s="65" cm="1">
        <f t="array" ref="K42">IF(tblDecarbLevers_S2[[#This Row],[Lever Name]]="",0,ROUND(tblTarget[Baseline Emissions (tCO2e)]-SUM(INDEX(tblDecarbLevers_S2[Calculated Impact (tCO2e)],1):tblDecarbLevers_S2[[#This Row],[Calculated Impact (tCO2e)]]),6))</f>
        <v>0</v>
      </c>
      <c r="L42" s="68"/>
      <c r="N42" s="41">
        <v>12</v>
      </c>
      <c r="O42" s="44" t="str" cm="1">
        <f t="array" ref="O42">IF(INDEX(tblDecarbLevers_S2[Lever Name],tblWaterfall_S2[[#This Row],[Sequence]])="","",INDEX(tblDecarbLevers_S2[Lever Name],tblWaterfall_S2[[#This Row],[Sequence]]))</f>
        <v/>
      </c>
      <c r="P42" s="36" t="str" cm="1">
        <f t="array" ref="P42">IF(tblWaterfall_S2[[#This Row],[Waterfall Category]]="","",IF(INDEX(tblDecarbLevers_S2[Calculated Impact (tCO2e)],tblWaterfall_S2[[#This Row],[Sequence]])&lt;0,"Emission Increase","Reduction Lever"))</f>
        <v/>
      </c>
      <c r="Q42" s="50" t="str" cm="1">
        <f t="array" ref="Q42">IF(tblWaterfall_S2[[#This Row],[Waterfall Category]]="","",-INDEX(tblDecarbLevers_S2[Calculated Impact (tCO2e)],tblWaterfall_S2[[#This Row],[Sequence]]))</f>
        <v/>
      </c>
      <c r="R42" s="51" t="str" cm="1">
        <f t="array" ref="R42">IF(tblWaterfall_S2[[#This Row],[Waterfall Category]]="","",IF(OR(tblWaterfall_S2[[#This Row],[Waterfall Type]]="Baseline",tblWaterfall_S2[[#This Row],[Waterfall Type]]="Planned Residual",tblWaterfall_S2[[#This Row],[Waterfall Type]]="Target"),0,IF(tblTarget[Required Reduction (tCO2e)]&lt;=0,0,-tblWaterfall_S2[[#This Row],[Amount (tCO2e)]]/tblTarget[Required Reduction (tCO2e)])))</f>
        <v/>
      </c>
      <c r="S42" s="36" t="str" cm="1">
        <f t="array" ref="S42">IF(tblWaterfall_S2[[#This Row],[Waterfall Category]]="","",INDEX(tblDecarbLevers_S2[Scope],tblWaterfall_S2[[#This Row],[Sequence]]))</f>
        <v/>
      </c>
    </row>
    <row r="43" spans="1:19" x14ac:dyDescent="0.25">
      <c r="A43" s="60" t="s">
        <v>160</v>
      </c>
      <c r="N43" s="31">
        <v>13</v>
      </c>
      <c r="O43" s="44" t="str" cm="1">
        <f t="array" ref="O43">tblTarget[Target Year]&amp;" - "&amp;IF(tblTarget[Impact Unit]="Percentage",TEXT(tblTarget[Target Reduction %],"0%"),TEXT(tblTarget[Target Input],"General")&amp;" tCO2e")&amp;" Reduction Target"</f>
        <v>2030 - 70% Reduction Target</v>
      </c>
      <c r="P43" s="36" t="s">
        <v>163</v>
      </c>
      <c r="Q43" s="50" cm="1">
        <f t="array" ref="Q43">tblTarget[Baseline Emissions (tCO2e)]-SUM(tblDecarbLevers_S2[Calculated Impact (tCO2e)])</f>
        <v>241.89999999999995</v>
      </c>
      <c r="R43" s="51" cm="1">
        <f t="array" ref="R43">IF(tblWaterfall_S2[[#This Row],[Waterfall Category]]="","",IF(OR(tblWaterfall_S2[[#This Row],[Waterfall Type]]="Baseline",tblWaterfall_S2[[#This Row],[Waterfall Type]]="Planned Residual",tblWaterfall_S2[[#This Row],[Waterfall Type]]="Target"),0,IF(tblTarget[Required Reduction (tCO2e)]&lt;=0,0,-tblWaterfall_S2[[#This Row],[Amount (tCO2e)]]/tblTarget[Required Reduction (tCO2e)])))</f>
        <v>-0.91234039787594712</v>
      </c>
      <c r="S43" s="36" t="s">
        <v>126</v>
      </c>
    </row>
    <row r="45" spans="1:19" ht="15.75" x14ac:dyDescent="0.25">
      <c r="A45" s="30" t="s">
        <v>110</v>
      </c>
    </row>
    <row r="46" spans="1:19" x14ac:dyDescent="0.25">
      <c r="A46" s="7" t="s">
        <v>115</v>
      </c>
    </row>
    <row r="47" spans="1:19" x14ac:dyDescent="0.25">
      <c r="A47" s="46" t="s">
        <v>135</v>
      </c>
      <c r="B47" s="47" t="s">
        <v>136</v>
      </c>
      <c r="C47" s="47" t="s">
        <v>137</v>
      </c>
    </row>
    <row r="48" spans="1:19" x14ac:dyDescent="0.25">
      <c r="A48" s="18" t="s">
        <v>91</v>
      </c>
      <c r="B48" s="38" cm="1">
        <f t="array" ref="B48">tblTarget[Baseline Emissions (tCO2e)]</f>
        <v>378.77466499999997</v>
      </c>
      <c r="C48" s="38" cm="1">
        <f t="array" ref="C48">tblTarget[Baseline Emissions (tCO2e)]</f>
        <v>378.77466499999997</v>
      </c>
    </row>
    <row r="49" spans="1:3" x14ac:dyDescent="0.25">
      <c r="A49" s="18" t="s">
        <v>95</v>
      </c>
      <c r="B49" s="38" cm="1">
        <f t="array" ref="B49">tblTarget[Projected Remaining Emission (tCO2e)]</f>
        <v>113.63239950000001</v>
      </c>
      <c r="C49" s="38" cm="1">
        <f t="array" ref="C49">tblTarget[Projected Remaining Emission (tCO2e)]</f>
        <v>113.63239950000001</v>
      </c>
    </row>
    <row r="50" spans="1:3" x14ac:dyDescent="0.25">
      <c r="A50" s="18" t="s">
        <v>96</v>
      </c>
      <c r="B50" s="38" cm="1">
        <f t="array" ref="B50">tblTarget[Required Reduction (tCO2e)]</f>
        <v>265.14226549999995</v>
      </c>
      <c r="C50" s="38" cm="1">
        <f t="array" ref="C50">tblTarget[Required Reduction (tCO2e)]</f>
        <v>265.14226549999995</v>
      </c>
    </row>
    <row r="51" spans="1:3" x14ac:dyDescent="0.25">
      <c r="A51" s="18" t="s">
        <v>111</v>
      </c>
      <c r="B51" s="38">
        <f>SUM(tblDecarbLevers_S1[Calculated Impact (tCO2e)])</f>
        <v>286.87466500000005</v>
      </c>
      <c r="C51" s="38">
        <f>SUM(tblDecarbLevers_S2[Calculated Impact (tCO2e)])</f>
        <v>136.87466500000002</v>
      </c>
    </row>
    <row r="52" spans="1:3" x14ac:dyDescent="0.25">
      <c r="A52" s="18" t="s">
        <v>107</v>
      </c>
      <c r="B52" s="38" cm="1">
        <f t="array" ref="B52">tblTarget[Baseline Emissions (tCO2e)]-$B$51</f>
        <v>91.89999999999992</v>
      </c>
      <c r="C52" s="38" cm="1">
        <f t="array" ref="C52">tblTarget[Baseline Emissions (tCO2e)]-$C$51</f>
        <v>241.89999999999995</v>
      </c>
    </row>
    <row r="53" spans="1:3" x14ac:dyDescent="0.25">
      <c r="A53" s="18" t="s">
        <v>112</v>
      </c>
      <c r="B53" s="39">
        <f>IF($B$50&lt;=0,0,$B$51/$B$50)</f>
        <v>1.0819650517016499</v>
      </c>
      <c r="C53" s="39">
        <f>IF($C$50&lt;=0,0,$C$51/$C$50)</f>
        <v>0.51623103069548171</v>
      </c>
    </row>
    <row r="54" spans="1:3" x14ac:dyDescent="0.25">
      <c r="A54" s="18" t="s">
        <v>113</v>
      </c>
      <c r="B54" s="38">
        <f>MAX(0,$B$50-$B$51)</f>
        <v>0</v>
      </c>
      <c r="C54" s="38">
        <f>MAX(0,$C$50-$C$51)</f>
        <v>128.26760049999993</v>
      </c>
    </row>
    <row r="55" spans="1:3" x14ac:dyDescent="0.25">
      <c r="A55" s="20" t="s">
        <v>114</v>
      </c>
      <c r="B55" s="40" t="str" cm="1">
        <f t="array" ref="B55">IF(tblTarget[Baseline Emissions (tCO2e)]&lt;=0,"No emissions calculated yet. Fill in the Activity Data sheet.",IF(tblTarget[Target Input]="","Enter a target input.",IF(tblTarget[Target Year]&lt;tblTarget[Baseline Year],"Target year should be the baseline year or later.",IF(AND(tblTarget[Impact Unit]="Percentage",OR(tblTarget[Target Input]&lt;0,tblTarget[Target Input]&gt;100)),"Percentage must be between 0% and 100%.",IF(AND(tblTarget[Impact Unit]="Absolute tCO2e",tblTarget[Target Input]&lt;0),"Absolute tCO2e cannot be negative.",IF(tblTarget[Projected Remaining Emission (tCO2e)]&lt;0,"Target emissions are negative. Check the target input.",IF(tblTarget[Required Reduction (tCO2e)]&lt;0,"Target is above baseline, so this is an increase rather than a reduction.",IF($B$51&lt;0,"Levers net to an overall increase: "&amp;TEXT(-$B$51,"#,##0.000")&amp;" tCO2e added versus baseline.",IF($B$51&gt;tblTarget[Baseline Emissions (tCO2e)],"Planned reductions are larger than baseline emissions. Check the levers.",IF($B$53&gt;1,"Target exceeded. Planned reductions go beyond what the target requires.",IF($B$54&gt;0,"Gap remains: "&amp;TEXT($B$54,"#,##0.000")&amp;" tCO2e still to be addressed.","Target met by the current plan.")))))))))))</f>
        <v>Target exceeded. Planned reductions go beyond what the target requires.</v>
      </c>
      <c r="C55" s="40" t="str" cm="1">
        <f t="array" ref="C55">IF(tblTarget[Baseline Emissions (tCO2e)]&lt;=0,"No emissions calculated yet. Fill in the Activity Data sheet.",IF(tblTarget[Target Input]="","Enter a target input.",IF(tblTarget[Target Year]&lt;tblTarget[Baseline Year],"Target year should be the baseline year or later.",IF(AND(tblTarget[Impact Unit]="Percentage",OR(tblTarget[Target Input]&lt;0,tblTarget[Target Input]&gt;100)),"Percentage must be between 0% and 100%.",IF(AND(tblTarget[Impact Unit]="Absolute tCO2e",tblTarget[Target Input]&lt;0),"Absolute tCO2e cannot be negative.",IF(tblTarget[Projected Remaining Emission (tCO2e)]&lt;0,"Target emissions are negative. Check the target input.",IF(tblTarget[Required Reduction (tCO2e)]&lt;0,"Target is above baseline, so this is an increase rather than a reduction.",IF($C$51&lt;0,"Levers net to an overall increase: "&amp;TEXT(-$C$51,"#,##0.000")&amp;" tCO2e added versus baseline.",IF($C$51&gt;tblTarget[Baseline Emissions (tCO2e)],"Planned reductions are larger than baseline emissions. Check the levers.",IF($C$53&gt;1,"Target exceeded. Planned reductions go beyond what the target requires.",IF($C$54&gt;0,"Gap remains: "&amp;TEXT($C$54,"#,##0.000")&amp;" tCO2e still to be addressed.","Target met by the current plan.")))))))))))</f>
        <v>Gap remains: 128.268 tCO2e still to be addressed.</v>
      </c>
    </row>
    <row r="56" spans="1:3" x14ac:dyDescent="0.25">
      <c r="A56" s="18" t="s">
        <v>138</v>
      </c>
      <c r="B56" s="73" t="str">
        <f>IF(B54&lt;C54,"Scenario 1",IF(C54&lt;B54,"Scenario 2","Tied"))</f>
        <v>Scenario 1</v>
      </c>
      <c r="C56" s="74"/>
    </row>
    <row r="61" spans="1:3" ht="15.75" x14ac:dyDescent="0.25">
      <c r="A61" s="53" t="s">
        <v>145</v>
      </c>
    </row>
    <row r="62" spans="1:3" x14ac:dyDescent="0.25">
      <c r="A62" s="54" t="s">
        <v>146</v>
      </c>
    </row>
    <row r="63" spans="1:3" x14ac:dyDescent="0.25">
      <c r="A63" s="55">
        <v>1</v>
      </c>
    </row>
  </sheetData>
  <sheetProtection formatCells="0" formatColumns="0" insertRows="0" sort="0" autoFilter="0"/>
  <mergeCells count="1">
    <mergeCell ref="B56:C56"/>
  </mergeCells>
  <conditionalFormatting sqref="B55:C55">
    <cfRule type="expression" dxfId="1" priority="1">
      <formula>$B$55&lt;&gt;"Target met by the current plan."</formula>
    </cfRule>
  </conditionalFormatting>
  <conditionalFormatting sqref="F11">
    <cfRule type="expression" priority="4">
      <formula>$E$11="Percentage"</formula>
    </cfRule>
  </conditionalFormatting>
  <conditionalFormatting sqref="F15:F26 F31:F42">
    <cfRule type="expression" dxfId="0" priority="2">
      <formula>AND($E15="Absolute tCO2e",$F15&gt;$G15)</formula>
    </cfRule>
  </conditionalFormatting>
  <dataValidations count="6">
    <dataValidation type="whole" operator="greaterThanOrEqual" allowBlank="1" showErrorMessage="1" errorTitle="Target year too early" error="The target year must be the baseline year or later." sqref="D11" xr:uid="{00000000-0002-0000-0400-000001000000}">
      <formula1>$B$11</formula1>
    </dataValidation>
    <dataValidation type="decimal" operator="greaterThanOrEqual" allowBlank="1" showErrorMessage="1" errorTitle="Number needed" error="Enter a positive number. Type 40% for a percentage cut, or a tCO2e figure." sqref="F11" xr:uid="{00000000-0002-0000-0400-000002000000}">
      <formula1>0</formula1>
    </dataValidation>
    <dataValidation type="list" allowBlank="1" showErrorMessage="1" errorTitle="Pick from the list" error="Choose Scope 1, Scope 2, or Scope 1 and 2." sqref="C15:C26 C31:C42" xr:uid="{00000000-0002-0000-0400-000003000000}">
      <formula1>"Scope 1,Scope 2,Scope 1 and 2"</formula1>
    </dataValidation>
    <dataValidation type="list" allowBlank="1" showErrorMessage="1" errorTitle="Pick from the list" error="Choose Absolute tCO2e or Percentage." sqref="E11 E15:E26 E31:E42" xr:uid="{00000000-0002-0000-0400-000006000000}">
      <formula1>"Absolute tCO2e,Percentage"</formula1>
    </dataValidation>
    <dataValidation type="custom" allowBlank="1" showInputMessage="1" showErrorMessage="1" errorTitle="Exceeds applicable baseline" error="This exceeds the Applicable Baseline. If that's 0 or lower than expected, check Prior Lever Impact, an earlier broader lever may have already claimed this source. Enter a value at or below Applicable Baseline, or use Percentage." sqref="F15:F26 F31:F42" xr:uid="{E367C882-249F-4098-8462-C43FE6AA63AE}">
      <formula1>IF($E15="Absolute tCO2e",$F15&lt;=$G15,TRUE)</formula1>
    </dataValidation>
    <dataValidation type="list" allowBlank="1" showInputMessage="1" showErrorMessage="1" sqref="D15:D26 D31:D42" xr:uid="{5403CE6B-91F4-4FBC-A255-1A8B803C9D9C}">
      <formula1>IF($C15="Scope 1",Scope_1,IF($C15="Scope 2",Scope_2,Scope_1_and_2))</formula1>
    </dataValidation>
  </dataValidations>
  <pageMargins left="0.75" right="0.75" top="1" bottom="1" header="0.5" footer="0.5"/>
  <legacyDrawing r:id="rId1"/>
  <tableParts count="6">
    <tablePart r:id="rId2"/>
    <tablePart r:id="rId3"/>
    <tablePart r:id="rId4"/>
    <tablePart r:id="rId5"/>
    <tablePart r:id="rId6"/>
    <tablePart r:id="rId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9</vt:i4>
      </vt:variant>
    </vt:vector>
  </HeadingPairs>
  <TitlesOfParts>
    <vt:vector size="14" baseType="lpstr">
      <vt:lpstr>Start Here</vt:lpstr>
      <vt:lpstr>Activity Data</vt:lpstr>
      <vt:lpstr>Emission Factors</vt:lpstr>
      <vt:lpstr>Lists</vt:lpstr>
      <vt:lpstr>Decarbonization Plan</vt:lpstr>
      <vt:lpstr>Australia</vt:lpstr>
      <vt:lpstr>FactorEF</vt:lpstr>
      <vt:lpstr>FactorKey</vt:lpstr>
      <vt:lpstr>FactorScope</vt:lpstr>
      <vt:lpstr>FactorUnit</vt:lpstr>
      <vt:lpstr>Scope_1</vt:lpstr>
      <vt:lpstr>Scope_1_and_2</vt:lpstr>
      <vt:lpstr>Scope_2</vt:lpstr>
      <vt:lpstr>United_Kingdom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Reiniel Celgie Chan</dc:creator>
  <cp:lastModifiedBy>Reiniel Celgie Chan</cp:lastModifiedBy>
  <dcterms:created xsi:type="dcterms:W3CDTF">2026-09-05T04:02:17Z</dcterms:created>
  <dcterms:modified xsi:type="dcterms:W3CDTF">2026-09-08T05:18:55Z</dcterms:modified>
</cp:coreProperties>
</file>
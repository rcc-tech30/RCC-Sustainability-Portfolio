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D:\"/>
    </mc:Choice>
  </mc:AlternateContent>
  <xr:revisionPtr revIDLastSave="0" documentId="13_ncr:1_{96D016AB-4BE3-4626-BA9A-87B1D9821F71}" xr6:coauthVersionLast="47" xr6:coauthVersionMax="47" xr10:uidLastSave="{00000000-0000-0000-0000-000000000000}"/>
  <bookViews>
    <workbookView xWindow="-120" yWindow="-120" windowWidth="38640" windowHeight="21120" tabRatio="500" activeTab="5" xr2:uid="{00000000-000D-0000-FFFF-FFFF00000000}"/>
  </bookViews>
  <sheets>
    <sheet name="Dashboard" sheetId="1" r:id="rId1"/>
    <sheet name="Scope 1" sheetId="2" r:id="rId2"/>
    <sheet name="Scope 2" sheetId="3" r:id="rId3"/>
    <sheet name="Emission Factors DB" sheetId="4" r:id="rId4"/>
    <sheet name="GWP Reference" sheetId="5" r:id="rId5"/>
    <sheet name="Instructions &amp; Methodology" sheetId="6" r:id="rId6"/>
  </sheets>
  <definedNames>
    <definedName name="DashFacilityNames">_xlfn.ANCHORARRAY(Dashboard!$B$74)</definedName>
    <definedName name="DashFacilityScope1">_xlfn.ANCHORARRAY(Dashboard!$C$74)</definedName>
    <definedName name="DashFacilityScope2">_xlfn.ANCHORARRAY(Dashboard!$D$74)</definedName>
    <definedName name="DashScope1SrcLabels">_xlfn.ANCHORARRAY(Dashboard!$E$65)</definedName>
    <definedName name="DashScope1SrcValues">_xlfn.ANCHORARRAY(Dashboard!$C$65)</definedName>
    <definedName name="_xlnm.Print_Area" localSheetId="0">Dashboard!$A$1:$BA$53</definedName>
  </definedNames>
  <calcPr calcId="191029" iterateDelta="1E-4"/>
  <pivotCaches>
    <pivotCache cacheId="0" r:id="rId7"/>
    <pivotCache cacheId="1"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97" i="1" l="1"/>
  <c r="C99" i="1" s="1"/>
  <c r="M96" i="1" a="1"/>
  <c r="M96" i="1" s="1"/>
  <c r="B64" i="6"/>
  <c r="B63" i="6"/>
  <c r="C49" i="1" l="1"/>
  <c r="D99" i="1"/>
  <c r="AD2" i="1"/>
  <c r="B52" i="1"/>
  <c r="E99" i="1"/>
  <c r="L101" i="2"/>
  <c r="K101" i="2"/>
  <c r="M101" i="2" s="1"/>
  <c r="N101" i="2" s="1"/>
  <c r="L100" i="2"/>
  <c r="K100" i="2"/>
  <c r="M100" i="2" s="1"/>
  <c r="N100" i="2" s="1"/>
  <c r="L99" i="2"/>
  <c r="K99" i="2"/>
  <c r="M99" i="2" s="1"/>
  <c r="N99" i="2" s="1"/>
  <c r="L98" i="2"/>
  <c r="K98" i="2"/>
  <c r="M98" i="2" s="1"/>
  <c r="N98" i="2" s="1"/>
  <c r="L97" i="2"/>
  <c r="K97" i="2"/>
  <c r="M97" i="2" s="1"/>
  <c r="N97" i="2" s="1"/>
  <c r="L96" i="2"/>
  <c r="K96" i="2"/>
  <c r="M96" i="2" s="1"/>
  <c r="N96" i="2" s="1"/>
  <c r="L95" i="2"/>
  <c r="K95" i="2"/>
  <c r="M95" i="2" s="1"/>
  <c r="N95" i="2" s="1"/>
  <c r="L94" i="2"/>
  <c r="K94" i="2"/>
  <c r="M94" i="2" s="1"/>
  <c r="N94" i="2" s="1"/>
  <c r="L93" i="2"/>
  <c r="K93" i="2"/>
  <c r="M93" i="2" s="1"/>
  <c r="N93" i="2" s="1"/>
  <c r="L92" i="2"/>
  <c r="K92" i="2"/>
  <c r="M92" i="2" s="1"/>
  <c r="N92" i="2" s="1"/>
  <c r="L91" i="2"/>
  <c r="K91" i="2"/>
  <c r="M91" i="2" s="1"/>
  <c r="N91" i="2" s="1"/>
  <c r="L90" i="2"/>
  <c r="K90" i="2"/>
  <c r="M90" i="2" s="1"/>
  <c r="N90" i="2" s="1"/>
  <c r="L89" i="2"/>
  <c r="K89" i="2"/>
  <c r="M89" i="2" s="1"/>
  <c r="N89" i="2" s="1"/>
  <c r="L88" i="2"/>
  <c r="K88" i="2"/>
  <c r="M88" i="2" s="1"/>
  <c r="N88" i="2" s="1"/>
  <c r="L87" i="2"/>
  <c r="K87" i="2"/>
  <c r="M87" i="2" s="1"/>
  <c r="N87" i="2" s="1"/>
  <c r="L86" i="2"/>
  <c r="K86" i="2"/>
  <c r="M86" i="2" s="1"/>
  <c r="N86" i="2" s="1"/>
  <c r="L85" i="2"/>
  <c r="K85" i="2"/>
  <c r="M85" i="2" s="1"/>
  <c r="N85" i="2" s="1"/>
  <c r="L84" i="2"/>
  <c r="K84" i="2"/>
  <c r="M84" i="2" s="1"/>
  <c r="N84" i="2" s="1"/>
  <c r="L83" i="2"/>
  <c r="K83" i="2"/>
  <c r="M83" i="2" s="1"/>
  <c r="N83" i="2" s="1"/>
  <c r="L82" i="2"/>
  <c r="K82" i="2"/>
  <c r="M82" i="2" s="1"/>
  <c r="N82" i="2" s="1"/>
  <c r="L81" i="2"/>
  <c r="K81" i="2"/>
  <c r="M81" i="2" s="1"/>
  <c r="N81" i="2" s="1"/>
  <c r="L80" i="2"/>
  <c r="K80" i="2"/>
  <c r="M80" i="2" s="1"/>
  <c r="N80" i="2" s="1"/>
  <c r="L79" i="2"/>
  <c r="K79" i="2"/>
  <c r="M79" i="2" s="1"/>
  <c r="N79" i="2" s="1"/>
  <c r="L78" i="2"/>
  <c r="K78" i="2"/>
  <c r="M78" i="2" s="1"/>
  <c r="N78" i="2" s="1"/>
  <c r="L77" i="2"/>
  <c r="L76" i="2"/>
  <c r="L75" i="2"/>
  <c r="L74" i="2"/>
  <c r="L73" i="2"/>
  <c r="L72" i="2"/>
  <c r="L71" i="2"/>
  <c r="L70" i="2"/>
  <c r="L69" i="2"/>
  <c r="L68" i="2"/>
  <c r="L67" i="2"/>
  <c r="L66" i="2"/>
  <c r="L65" i="2"/>
  <c r="K65" i="2"/>
  <c r="M65" i="2" s="1"/>
  <c r="N65" i="2" s="1"/>
  <c r="L64" i="2"/>
  <c r="K64" i="2"/>
  <c r="M64" i="2" s="1"/>
  <c r="N64" i="2" s="1"/>
  <c r="L63" i="2"/>
  <c r="K63" i="2"/>
  <c r="M63" i="2" s="1"/>
  <c r="N63" i="2" s="1"/>
  <c r="L62" i="2"/>
  <c r="K62" i="2"/>
  <c r="M62" i="2" s="1"/>
  <c r="N62" i="2" s="1"/>
  <c r="L61" i="2"/>
  <c r="K61" i="2"/>
  <c r="M61" i="2" s="1"/>
  <c r="N61" i="2" s="1"/>
  <c r="L60" i="2"/>
  <c r="K60" i="2"/>
  <c r="M60" i="2" s="1"/>
  <c r="N60" i="2" s="1"/>
  <c r="L59" i="2"/>
  <c r="K59" i="2"/>
  <c r="M59" i="2" s="1"/>
  <c r="N59" i="2" s="1"/>
  <c r="L58" i="2"/>
  <c r="K58" i="2"/>
  <c r="M58" i="2" s="1"/>
  <c r="N58" i="2" s="1"/>
  <c r="L57" i="2"/>
  <c r="K57" i="2"/>
  <c r="M57" i="2" s="1"/>
  <c r="N57" i="2" s="1"/>
  <c r="L56" i="2"/>
  <c r="K56" i="2"/>
  <c r="M56" i="2" s="1"/>
  <c r="N56" i="2" s="1"/>
  <c r="L55" i="2"/>
  <c r="K55" i="2"/>
  <c r="M55" i="2" s="1"/>
  <c r="N55" i="2" s="1"/>
  <c r="L54" i="2"/>
  <c r="K54" i="2"/>
  <c r="M54" i="2" s="1"/>
  <c r="N54" i="2" s="1"/>
  <c r="L53" i="2"/>
  <c r="K53" i="2"/>
  <c r="M53" i="2" s="1"/>
  <c r="N53" i="2" s="1"/>
  <c r="L52" i="2"/>
  <c r="K52" i="2"/>
  <c r="M52" i="2" s="1"/>
  <c r="N52" i="2" s="1"/>
  <c r="L51" i="2"/>
  <c r="K51" i="2"/>
  <c r="M51" i="2" s="1"/>
  <c r="N51" i="2" s="1"/>
  <c r="L50" i="2"/>
  <c r="K50" i="2"/>
  <c r="M50" i="2" s="1"/>
  <c r="N50" i="2" s="1"/>
  <c r="L49" i="2"/>
  <c r="K49" i="2"/>
  <c r="M49" i="2" s="1"/>
  <c r="N49" i="2" s="1"/>
  <c r="L48" i="2"/>
  <c r="K48" i="2"/>
  <c r="M48" i="2" s="1"/>
  <c r="N48" i="2" s="1"/>
  <c r="L47" i="2"/>
  <c r="K47" i="2"/>
  <c r="M47" i="2" s="1"/>
  <c r="N47" i="2" s="1"/>
  <c r="L46" i="2"/>
  <c r="K46" i="2"/>
  <c r="M46" i="2" s="1"/>
  <c r="N46" i="2" s="1"/>
  <c r="L45" i="2"/>
  <c r="K45" i="2"/>
  <c r="M45" i="2" s="1"/>
  <c r="N45" i="2" s="1"/>
  <c r="L44" i="2"/>
  <c r="K44" i="2"/>
  <c r="M44" i="2" s="1"/>
  <c r="N44" i="2" s="1"/>
  <c r="L43" i="2"/>
  <c r="K43" i="2"/>
  <c r="M43" i="2" s="1"/>
  <c r="N43" i="2" s="1"/>
  <c r="L42" i="2"/>
  <c r="K42" i="2"/>
  <c r="M42" i="2" s="1"/>
  <c r="N42" i="2" s="1"/>
  <c r="L41" i="2"/>
  <c r="L40" i="2"/>
  <c r="L39" i="2"/>
  <c r="L38" i="2"/>
  <c r="L37" i="2"/>
  <c r="L36" i="2"/>
  <c r="L35" i="2"/>
  <c r="L34" i="2"/>
  <c r="L33" i="2"/>
  <c r="L32" i="2"/>
  <c r="L31" i="2"/>
  <c r="L30" i="2"/>
  <c r="L29" i="2"/>
  <c r="K29" i="2"/>
  <c r="M29" i="2" s="1"/>
  <c r="N29" i="2" s="1"/>
  <c r="L28" i="2"/>
  <c r="K28" i="2"/>
  <c r="M28" i="2" s="1"/>
  <c r="N28" i="2" s="1"/>
  <c r="L27" i="2"/>
  <c r="K27" i="2"/>
  <c r="M27" i="2" s="1"/>
  <c r="N27" i="2" s="1"/>
  <c r="L26" i="2"/>
  <c r="K26" i="2"/>
  <c r="M26" i="2" s="1"/>
  <c r="N26" i="2" s="1"/>
  <c r="L25" i="2"/>
  <c r="K25" i="2"/>
  <c r="M25" i="2" s="1"/>
  <c r="N25" i="2" s="1"/>
  <c r="L24" i="2"/>
  <c r="K24" i="2"/>
  <c r="M24" i="2" s="1"/>
  <c r="N24" i="2" s="1"/>
  <c r="L23" i="2"/>
  <c r="K23" i="2"/>
  <c r="M23" i="2" s="1"/>
  <c r="N23" i="2" s="1"/>
  <c r="L22" i="2"/>
  <c r="K22" i="2"/>
  <c r="M22" i="2" s="1"/>
  <c r="N22" i="2" s="1"/>
  <c r="L21" i="2"/>
  <c r="K21" i="2"/>
  <c r="M21" i="2" s="1"/>
  <c r="N21" i="2" s="1"/>
  <c r="L20" i="2"/>
  <c r="K20" i="2"/>
  <c r="M20" i="2" s="1"/>
  <c r="N20" i="2" s="1"/>
  <c r="L19" i="2"/>
  <c r="K19" i="2"/>
  <c r="M19" i="2" s="1"/>
  <c r="N19" i="2" s="1"/>
  <c r="L18" i="2"/>
  <c r="K18" i="2"/>
  <c r="M18" i="2" s="1"/>
  <c r="N18" i="2" s="1"/>
  <c r="L17" i="2"/>
  <c r="K17" i="2"/>
  <c r="M17" i="2" s="1"/>
  <c r="N17" i="2" s="1"/>
  <c r="L16" i="2"/>
  <c r="K16" i="2"/>
  <c r="M16" i="2" s="1"/>
  <c r="N16" i="2" s="1"/>
  <c r="L15" i="2"/>
  <c r="K15" i="2"/>
  <c r="M15" i="2" s="1"/>
  <c r="N15" i="2" s="1"/>
  <c r="L14" i="2"/>
  <c r="K14" i="2"/>
  <c r="M14" i="2" s="1"/>
  <c r="N14" i="2" s="1"/>
  <c r="L13" i="2"/>
  <c r="K13" i="2"/>
  <c r="M13" i="2" s="1"/>
  <c r="N13" i="2" s="1"/>
  <c r="L12" i="2"/>
  <c r="K12" i="2"/>
  <c r="M12" i="2" s="1"/>
  <c r="N12" i="2" s="1"/>
  <c r="L11" i="2"/>
  <c r="K11" i="2"/>
  <c r="M11" i="2" s="1"/>
  <c r="N11" i="2" s="1"/>
  <c r="L10" i="2"/>
  <c r="K10" i="2"/>
  <c r="M10" i="2" s="1"/>
  <c r="N10" i="2" s="1"/>
  <c r="L9" i="2"/>
  <c r="K9" i="2"/>
  <c r="M9" i="2" s="1"/>
  <c r="N9" i="2" s="1"/>
  <c r="L8" i="2"/>
  <c r="K8" i="2"/>
  <c r="M8" i="2" s="1"/>
  <c r="N8" i="2" s="1"/>
  <c r="L7" i="2"/>
  <c r="K7" i="2"/>
  <c r="M7" i="2" s="1"/>
  <c r="N7" i="2" s="1"/>
  <c r="L6" i="2"/>
  <c r="K6" i="2"/>
  <c r="M6" i="2" s="1"/>
  <c r="O13" i="4"/>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I24" i="3"/>
  <c r="K24" i="3" s="1"/>
  <c r="L24" i="3" s="1"/>
  <c r="I36" i="3"/>
  <c r="K36" i="3" s="1"/>
  <c r="L36" i="3" s="1"/>
  <c r="I37" i="3"/>
  <c r="K37" i="3" s="1"/>
  <c r="L37" i="3" s="1"/>
  <c r="I39" i="3"/>
  <c r="K39" i="3" s="1"/>
  <c r="L39" i="3" s="1"/>
  <c r="I40" i="3"/>
  <c r="K40" i="3" s="1"/>
  <c r="L40" i="3" s="1"/>
  <c r="I30" i="3"/>
  <c r="K30" i="3" s="1"/>
  <c r="L30" i="3" s="1"/>
  <c r="N13" i="4"/>
  <c r="M13" i="4"/>
  <c r="L13" i="4"/>
  <c r="O12" i="4"/>
  <c r="I26" i="3" s="1"/>
  <c r="K26" i="3" s="1"/>
  <c r="L26" i="3" s="1"/>
  <c r="N12" i="4"/>
  <c r="M12" i="4"/>
  <c r="L12" i="4"/>
  <c r="O11" i="4"/>
  <c r="I10" i="3" s="1"/>
  <c r="K10" i="3" s="1"/>
  <c r="L10" i="3" s="1"/>
  <c r="N11" i="4"/>
  <c r="M11" i="4"/>
  <c r="L11" i="4"/>
  <c r="N10" i="4"/>
  <c r="M10" i="4"/>
  <c r="L10" i="4"/>
  <c r="N9" i="4"/>
  <c r="M9" i="4"/>
  <c r="L9" i="4"/>
  <c r="N8" i="4"/>
  <c r="M8" i="4"/>
  <c r="L8" i="4"/>
  <c r="N7" i="4"/>
  <c r="M7" i="4"/>
  <c r="L7" i="4"/>
  <c r="N6" i="4"/>
  <c r="M6" i="4"/>
  <c r="O6" i="4" s="1"/>
  <c r="L6" i="4"/>
  <c r="N6" i="2" l="1"/>
  <c r="E101" i="1" a="1"/>
  <c r="E101" i="1" s="1"/>
  <c r="F99" i="1"/>
  <c r="O7" i="4"/>
  <c r="I38" i="3"/>
  <c r="K38" i="3" s="1"/>
  <c r="L38" i="3" s="1"/>
  <c r="O8" i="4"/>
  <c r="I25" i="3"/>
  <c r="K25" i="3" s="1"/>
  <c r="L25" i="3" s="1"/>
  <c r="I23" i="3"/>
  <c r="K23" i="3" s="1"/>
  <c r="L23" i="3" s="1"/>
  <c r="O9" i="4"/>
  <c r="I22" i="3"/>
  <c r="K22" i="3" s="1"/>
  <c r="L22" i="3" s="1"/>
  <c r="O10" i="4"/>
  <c r="I41" i="3"/>
  <c r="K41" i="3" s="1"/>
  <c r="L41" i="3" s="1"/>
  <c r="I9" i="3"/>
  <c r="K9" i="3" s="1"/>
  <c r="L9" i="3" s="1"/>
  <c r="I8" i="3"/>
  <c r="K8" i="3" s="1"/>
  <c r="L8" i="3" s="1"/>
  <c r="I6" i="3"/>
  <c r="K6" i="3" s="1"/>
  <c r="L6" i="3" s="1"/>
  <c r="I21" i="3"/>
  <c r="K21" i="3" s="1"/>
  <c r="L21" i="3" s="1"/>
  <c r="I7" i="3"/>
  <c r="K7" i="3" s="1"/>
  <c r="L7" i="3" s="1"/>
  <c r="I20" i="3"/>
  <c r="K20" i="3" s="1"/>
  <c r="L20" i="3" s="1"/>
  <c r="I35" i="3"/>
  <c r="K35" i="3" s="1"/>
  <c r="L35" i="3" s="1"/>
  <c r="I19" i="3"/>
  <c r="K19" i="3" s="1"/>
  <c r="L19" i="3" s="1"/>
  <c r="I34" i="3"/>
  <c r="K34" i="3" s="1"/>
  <c r="L34" i="3" s="1"/>
  <c r="I18" i="3"/>
  <c r="K18" i="3" s="1"/>
  <c r="L18" i="3" s="1"/>
  <c r="I33" i="3"/>
  <c r="K33" i="3" s="1"/>
  <c r="L33" i="3" s="1"/>
  <c r="I17" i="3"/>
  <c r="K17" i="3" s="1"/>
  <c r="L17" i="3" s="1"/>
  <c r="I32" i="3"/>
  <c r="K32" i="3" s="1"/>
  <c r="L32" i="3" s="1"/>
  <c r="I16" i="3"/>
  <c r="K16" i="3" s="1"/>
  <c r="L16" i="3" s="1"/>
  <c r="I31" i="3"/>
  <c r="K31" i="3" s="1"/>
  <c r="L31" i="3" s="1"/>
  <c r="I15" i="3"/>
  <c r="K15" i="3" s="1"/>
  <c r="L15" i="3" s="1"/>
  <c r="I14" i="3"/>
  <c r="K14" i="3" s="1"/>
  <c r="L14" i="3" s="1"/>
  <c r="I29" i="3"/>
  <c r="K29" i="3" s="1"/>
  <c r="L29" i="3" s="1"/>
  <c r="I13" i="3"/>
  <c r="K13" i="3" s="1"/>
  <c r="L13" i="3" s="1"/>
  <c r="I28" i="3"/>
  <c r="K28" i="3" s="1"/>
  <c r="L28" i="3" s="1"/>
  <c r="I12" i="3"/>
  <c r="K12" i="3" s="1"/>
  <c r="L12" i="3" s="1"/>
  <c r="I27" i="3"/>
  <c r="K27" i="3" s="1"/>
  <c r="L27" i="3" s="1"/>
  <c r="I11" i="3"/>
  <c r="K11" i="3" s="1"/>
  <c r="L11" i="3" s="1"/>
  <c r="M83" i="1" l="1"/>
  <c r="C101" i="1" a="1"/>
  <c r="C101" i="1" s="1"/>
  <c r="D101" i="1" a="1"/>
  <c r="D101" i="1" s="1"/>
  <c r="G99" i="1"/>
  <c r="F101" i="1" a="1"/>
  <c r="F101" i="1" s="1"/>
  <c r="K77" i="2"/>
  <c r="M77" i="2" s="1"/>
  <c r="N77" i="2" s="1"/>
  <c r="K69" i="2"/>
  <c r="M69" i="2" s="1"/>
  <c r="N69" i="2" s="1"/>
  <c r="K37" i="2"/>
  <c r="M37" i="2" s="1"/>
  <c r="N37" i="2" s="1"/>
  <c r="K68" i="2"/>
  <c r="M68" i="2" s="1"/>
  <c r="N68" i="2" s="1"/>
  <c r="K76" i="2"/>
  <c r="M76" i="2" s="1"/>
  <c r="N76" i="2" s="1"/>
  <c r="K36" i="2"/>
  <c r="M36" i="2" s="1"/>
  <c r="N36" i="2" s="1"/>
  <c r="K75" i="2"/>
  <c r="M75" i="2" s="1"/>
  <c r="N75" i="2" s="1"/>
  <c r="K67" i="2"/>
  <c r="M67" i="2" s="1"/>
  <c r="N67" i="2" s="1"/>
  <c r="K35" i="2"/>
  <c r="M35" i="2" s="1"/>
  <c r="N35" i="2" s="1"/>
  <c r="K74" i="2"/>
  <c r="M74" i="2" s="1"/>
  <c r="N74" i="2" s="1"/>
  <c r="K66" i="2"/>
  <c r="M66" i="2" s="1"/>
  <c r="N66" i="2" s="1"/>
  <c r="K34" i="2"/>
  <c r="M34" i="2" s="1"/>
  <c r="N34" i="2" s="1"/>
  <c r="K73" i="2"/>
  <c r="M73" i="2" s="1"/>
  <c r="N73" i="2" s="1"/>
  <c r="K41" i="2"/>
  <c r="M41" i="2" s="1"/>
  <c r="N41" i="2" s="1"/>
  <c r="K33" i="2"/>
  <c r="M33" i="2" s="1"/>
  <c r="N33" i="2" s="1"/>
  <c r="K72" i="2"/>
  <c r="M72" i="2" s="1"/>
  <c r="N72" i="2" s="1"/>
  <c r="K40" i="2"/>
  <c r="M40" i="2" s="1"/>
  <c r="N40" i="2" s="1"/>
  <c r="K32" i="2"/>
  <c r="M32" i="2" s="1"/>
  <c r="N32" i="2" s="1"/>
  <c r="K71" i="2"/>
  <c r="M71" i="2" s="1"/>
  <c r="N71" i="2" s="1"/>
  <c r="K39" i="2"/>
  <c r="M39" i="2" s="1"/>
  <c r="N39" i="2" s="1"/>
  <c r="K31" i="2"/>
  <c r="M31" i="2" s="1"/>
  <c r="N31" i="2" s="1"/>
  <c r="K30" i="2"/>
  <c r="M30" i="2" s="1"/>
  <c r="K70" i="2"/>
  <c r="M70" i="2" s="1"/>
  <c r="N70" i="2" s="1"/>
  <c r="K38" i="2"/>
  <c r="M38" i="2" s="1"/>
  <c r="N38" i="2" s="1"/>
  <c r="L42" i="3"/>
  <c r="K42" i="3"/>
  <c r="N30" i="2" l="1"/>
  <c r="M102" i="2"/>
  <c r="C100" i="1" a="1"/>
  <c r="C100" i="1" s="1"/>
  <c r="D100" i="1" a="1"/>
  <c r="D100" i="1" s="1"/>
  <c r="E100" i="1" a="1"/>
  <c r="E100" i="1" s="1"/>
  <c r="H99" i="1"/>
  <c r="G101" i="1" a="1"/>
  <c r="G101" i="1" s="1"/>
  <c r="G100" i="1" a="1"/>
  <c r="G100" i="1" s="1"/>
  <c r="D65" i="1" l="1" a="1"/>
  <c r="D65" i="1" s="1"/>
  <c r="C65" i="1" a="1"/>
  <c r="B65" i="1" a="1"/>
  <c r="E74" i="1" a="1"/>
  <c r="M82" i="1"/>
  <c r="F74" i="1" a="1"/>
  <c r="F74" i="1" s="1"/>
  <c r="E65" i="1" a="1"/>
  <c r="E65" i="1" s="1"/>
  <c r="D74" i="1" a="1"/>
  <c r="B74" i="1" a="1"/>
  <c r="C74" i="1" a="1"/>
  <c r="C74" i="1" s="1"/>
  <c r="N102" i="2"/>
  <c r="F100" i="1" a="1"/>
  <c r="F100" i="1" s="1"/>
  <c r="H101" i="1" a="1"/>
  <c r="H101" i="1" s="1"/>
  <c r="H100" i="1" a="1"/>
  <c r="H100" i="1" s="1"/>
  <c r="I99" i="1"/>
  <c r="B74" i="1" l="1"/>
  <c r="M87" i="1" a="1"/>
  <c r="M87" i="1" s="1"/>
  <c r="D74" i="1"/>
  <c r="M92" i="1" s="1"/>
  <c r="E74" i="1"/>
  <c r="M88" i="1" a="1"/>
  <c r="M88" i="1" s="1"/>
  <c r="B65" i="1"/>
  <c r="M89" i="1" a="1"/>
  <c r="M89" i="1" s="1"/>
  <c r="C65" i="1"/>
  <c r="M90" i="1" a="1"/>
  <c r="M90" i="1" s="1"/>
  <c r="M84" i="1"/>
  <c r="M86" i="1" s="1"/>
  <c r="P84" i="1" s="1"/>
  <c r="I101" i="1" a="1"/>
  <c r="I101" i="1" s="1"/>
  <c r="I100" i="1" a="1"/>
  <c r="I100" i="1" s="1"/>
  <c r="J99" i="1"/>
  <c r="M95" i="1" l="1" a="1"/>
  <c r="M95" i="1" s="1"/>
  <c r="M93" i="1"/>
  <c r="M94" i="1" s="1"/>
  <c r="L46" i="1"/>
  <c r="U46" i="1"/>
  <c r="M85" i="1"/>
  <c r="M91" i="1"/>
  <c r="P85" i="1"/>
  <c r="L40" i="1"/>
  <c r="J100" i="1" a="1"/>
  <c r="J100" i="1" s="1"/>
  <c r="J101" i="1" a="1"/>
  <c r="J101" i="1" s="1"/>
  <c r="K99" i="1"/>
  <c r="P83" i="1" l="1"/>
  <c r="U37" i="1"/>
  <c r="L37" i="1"/>
  <c r="L99" i="1"/>
  <c r="K100" i="1" a="1"/>
  <c r="K100" i="1" s="1"/>
  <c r="K101" i="1" a="1"/>
  <c r="K101" i="1" s="1"/>
  <c r="L101" i="1" l="1" a="1"/>
  <c r="L101" i="1" s="1"/>
  <c r="M99" i="1"/>
  <c r="L100" i="1" a="1"/>
  <c r="L100" i="1" s="1"/>
  <c r="M101" i="1" l="1" a="1"/>
  <c r="M101" i="1" s="1"/>
  <c r="N99" i="1"/>
  <c r="M100" i="1" a="1"/>
  <c r="M100" i="1" s="1"/>
  <c r="N100" i="1" l="1" a="1"/>
  <c r="N100" i="1" s="1"/>
  <c r="N101" i="1" a="1"/>
  <c r="N101" i="1" s="1"/>
  <c r="L43" i="1" l="1"/>
  <c r="T83" i="1"/>
  <c r="U43" i="1" s="1"/>
  <c r="S84" i="1" a="1"/>
  <c r="S84" i="1" s="1"/>
  <c r="S82" i="1" a="1"/>
  <c r="S82" i="1" s="1"/>
  <c r="S83" i="1" a="1"/>
  <c r="S83" i="1" s="1"/>
  <c r="P86" i="1" l="1"/>
  <c r="S8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Reiniel Chan</author>
  </authors>
  <commentList>
    <comment ref="B81" authorId="0" shapeId="0" xr:uid="{1106EECE-4A30-4754-A73D-88C783E69376}">
      <text>
        <r>
          <rPr>
            <b/>
            <sz val="9"/>
            <color indexed="81"/>
            <rFont val="Tahoma"/>
            <family val="2"/>
          </rPr>
          <t>Reiniel Chan:</t>
        </r>
        <r>
          <rPr>
            <sz val="9"/>
            <color indexed="81"/>
            <rFont val="Tahoma"/>
            <family val="2"/>
          </rPr>
          <t xml:space="preserve">
Trace any dashboard figure: KPI card &gt; helper cell below &gt; Scope 1 or Scope 2 record &gt; EF ID &gt; Emission Factors DB row &gt; original ECCC table and URL.</t>
        </r>
      </text>
    </comment>
    <comment ref="M82" authorId="0" shapeId="0" xr:uid="{D0CC859D-AFB9-40CC-A8E5-29ADBCD149DE}">
      <text>
        <r>
          <rPr>
            <b/>
            <sz val="9"/>
            <color indexed="81"/>
            <rFont val="Tahoma"/>
            <family val="2"/>
          </rPr>
          <t>Reiniel Chan:</t>
        </r>
        <r>
          <rPr>
            <sz val="9"/>
            <color indexed="81"/>
            <rFont val="Tahoma"/>
            <family val="2"/>
          </rPr>
          <t xml:space="preserve">
KPI 1 (Total Emissions) subheader — no numeric figure by design (number is already the big KPI value above). Link KPI_SUB_0 shape here.</t>
        </r>
      </text>
    </comment>
    <comment ref="P82" authorId="0" shapeId="0" xr:uid="{E030B061-5C0C-4719-9A0D-4D86624DCD62}">
      <text>
        <r>
          <rPr>
            <b/>
            <sz val="9"/>
            <color indexed="81"/>
            <rFont val="Tahoma"/>
            <family val="2"/>
          </rPr>
          <t>Reiniel Chan:</t>
        </r>
        <r>
          <rPr>
            <sz val="9"/>
            <color indexed="81"/>
            <rFont val="Tahoma"/>
            <family val="2"/>
          </rPr>
          <t xml:space="preserve">
KPI 1 (Total Emissions) subheader — no numeric figure by design (the number is already the big KPI value above). Link KPI_SUB_0 shape here.</t>
        </r>
      </text>
    </comment>
    <comment ref="M83" authorId="0" shapeId="0" xr:uid="{C1E1C663-5794-42A7-A31F-36CF4F3FC216}">
      <text>
        <r>
          <rPr>
            <b/>
            <sz val="9"/>
            <color indexed="81"/>
            <rFont val="Tahoma"/>
            <family val="2"/>
          </rPr>
          <t>Reiniel Chan:</t>
        </r>
        <r>
          <rPr>
            <sz val="9"/>
            <color indexed="81"/>
            <rFont val="Tahoma"/>
            <family val="2"/>
          </rPr>
          <t xml:space="preserve">
KPI 2 (Scope 1) subheader. Link KPI_SUB_1 shape here.</t>
        </r>
      </text>
    </comment>
    <comment ref="P83" authorId="0" shapeId="0" xr:uid="{7F2CDA6D-9695-443A-987B-8F000EB8D2A7}">
      <text>
        <r>
          <rPr>
            <b/>
            <sz val="9"/>
            <color indexed="81"/>
            <rFont val="Tahoma"/>
            <family val="2"/>
          </rPr>
          <t>Reiniel Chan:</t>
        </r>
        <r>
          <rPr>
            <sz val="9"/>
            <color indexed="81"/>
            <rFont val="Tahoma"/>
            <family val="2"/>
          </rPr>
          <t xml:space="preserve">
KPI 2 (Scope 1) subheader. Link KPI_SUB_1 shape here.</t>
        </r>
      </text>
    </comment>
    <comment ref="M84" authorId="0" shapeId="0" xr:uid="{4BD629AD-C7FB-427B-8CE6-1AC8C7D597D7}">
      <text>
        <r>
          <rPr>
            <b/>
            <sz val="9"/>
            <color indexed="81"/>
            <rFont val="Tahoma"/>
            <family val="2"/>
          </rPr>
          <t>Reiniel Chan:</t>
        </r>
        <r>
          <rPr>
            <sz val="9"/>
            <color indexed="81"/>
            <rFont val="Tahoma"/>
            <family val="2"/>
          </rPr>
          <t xml:space="preserve">
KPI 3 (Scope 2) subheader. Link KPI_SUB_2 shape here.</t>
        </r>
      </text>
    </comment>
    <comment ref="P84" authorId="0" shapeId="0" xr:uid="{6ED0F8C7-6295-47C3-A505-77AC7D056266}">
      <text>
        <r>
          <rPr>
            <b/>
            <sz val="9"/>
            <color indexed="81"/>
            <rFont val="Tahoma"/>
            <family val="2"/>
          </rPr>
          <t>Reiniel Chan:</t>
        </r>
        <r>
          <rPr>
            <sz val="9"/>
            <color indexed="81"/>
            <rFont val="Tahoma"/>
            <family val="2"/>
          </rPr>
          <t xml:space="preserve">
KPI 3 (Scope 2) subheader. Link KPI_SUB_2 shape here.</t>
        </r>
      </text>
    </comment>
    <comment ref="M85" authorId="0" shapeId="0" xr:uid="{B2B61AD3-65F9-421F-889D-A176EE89AF10}">
      <text>
        <r>
          <rPr>
            <b/>
            <sz val="9"/>
            <color indexed="81"/>
            <rFont val="Tahoma"/>
            <family val="2"/>
          </rPr>
          <t>Reiniel Chan:</t>
        </r>
        <r>
          <rPr>
            <sz val="9"/>
            <color indexed="81"/>
            <rFont val="Tahoma"/>
            <family val="2"/>
          </rPr>
          <t xml:space="preserve">
KPI 4 (Largest emission driver) subheader. Link KPI_SUB_3 shape here.</t>
        </r>
      </text>
    </comment>
    <comment ref="P85" authorId="0" shapeId="0" xr:uid="{ED530EFB-401B-4711-85D0-2CBA3908BDBD}">
      <text>
        <r>
          <rPr>
            <b/>
            <sz val="9"/>
            <color indexed="81"/>
            <rFont val="Tahoma"/>
            <family val="2"/>
          </rPr>
          <t>Reiniel Chan:</t>
        </r>
        <r>
          <rPr>
            <sz val="9"/>
            <color indexed="81"/>
            <rFont val="Tahoma"/>
            <family val="2"/>
          </rPr>
          <t xml:space="preserve">
KPI 4 (Largest emission driver) subheader. Link KPI_SUB_3 shape here.</t>
        </r>
      </text>
    </comment>
    <comment ref="P86" authorId="0" shapeId="0" xr:uid="{09841CAB-A282-4DE1-93EF-129B5018FECB}">
      <text>
        <r>
          <rPr>
            <b/>
            <sz val="9"/>
            <color indexed="81"/>
            <rFont val="Tahoma"/>
            <family val="2"/>
          </rPr>
          <t>Reiniel Chan:</t>
        </r>
        <r>
          <rPr>
            <sz val="9"/>
            <color indexed="81"/>
            <rFont val="Tahoma"/>
            <family val="2"/>
          </rPr>
          <t xml:space="preserve">
KPI 5 (Peak Emission Month) subheader. Link KPI_SUB_4 shape here.</t>
        </r>
      </text>
    </comment>
    <comment ref="B95" authorId="0" shapeId="0" xr:uid="{3D9374BF-1B31-4B7E-AF86-68078EF86B59}">
      <text>
        <r>
          <rPr>
            <b/>
            <sz val="9"/>
            <color indexed="81"/>
            <rFont val="Tahoma"/>
            <charset val="1"/>
          </rPr>
          <t>Reiniel Chan:</t>
        </r>
        <r>
          <rPr>
            <sz val="9"/>
            <color indexed="81"/>
            <rFont val="Tahoma"/>
            <charset val="1"/>
          </rPr>
          <t xml:space="preserve">
Live text used by the Scope 1 hotspot card on the dashboard.</t>
        </r>
      </text>
    </comment>
    <comment ref="B96" authorId="0" shapeId="0" xr:uid="{36114F15-164F-4361-B1F0-C3FAD2AF4D8C}">
      <text>
        <r>
          <rPr>
            <b/>
            <sz val="9"/>
            <color indexed="81"/>
            <rFont val="Tahoma"/>
            <charset val="1"/>
          </rPr>
          <t>Reiniel Chan:</t>
        </r>
        <r>
          <rPr>
            <sz val="9"/>
            <color indexed="81"/>
            <rFont val="Tahoma"/>
            <charset val="1"/>
          </rPr>
          <t xml:space="preserve">
Live recommended focus based on the largest Scope 1 source.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Reiniel Chan</author>
  </authors>
  <commentList>
    <comment ref="B6" authorId="0" shapeId="0" xr:uid="{27CC3226-970D-4E90-B4E5-5D3ABCFAB05B}">
      <text>
        <r>
          <rPr>
            <b/>
            <sz val="9"/>
            <color indexed="81"/>
            <rFont val="Tahoma"/>
            <family val="2"/>
          </rPr>
          <t>Reiniel Chan:</t>
        </r>
        <r>
          <rPr>
            <sz val="9"/>
            <color indexed="81"/>
            <rFont val="Tahoma"/>
            <family val="2"/>
          </rPr>
          <t xml:space="preserve">
Audit 2026-08-17: Verified against ECCC Emission Factors and Reference Values v3.0, Tables 1.3 and 2.3. Published factors and aggregated formula reconcile.</t>
        </r>
      </text>
    </comment>
    <comment ref="B7" authorId="0" shapeId="0" xr:uid="{D5179242-BD7A-41E2-8571-B19941A3F7F7}">
      <text>
        <r>
          <rPr>
            <b/>
            <sz val="9"/>
            <color indexed="81"/>
            <rFont val="Tahoma"/>
            <family val="2"/>
          </rPr>
          <t>Reiniel Chan:</t>
        </r>
        <r>
          <rPr>
            <sz val="9"/>
            <color indexed="81"/>
            <rFont val="Tahoma"/>
            <family val="2"/>
          </rPr>
          <t xml:space="preserve">
Audit 2026-08-17: Verified against ECCC Emission Factors and Reference Values v3.0, Tables 1.3 and 2.3. Published factors and aggregated formula reconcile.</t>
        </r>
      </text>
    </comment>
    <comment ref="B8" authorId="0" shapeId="0" xr:uid="{742CBD84-E451-4F40-AD1B-652CDF00A517}">
      <text>
        <r>
          <rPr>
            <b/>
            <sz val="9"/>
            <color indexed="81"/>
            <rFont val="Tahoma"/>
            <family val="2"/>
          </rPr>
          <t>Reiniel Chan:</t>
        </r>
        <r>
          <rPr>
            <sz val="9"/>
            <color indexed="81"/>
            <rFont val="Tahoma"/>
            <family val="2"/>
          </rPr>
          <t xml:space="preserve">
Audit 2026-08-17: Verified against ECCC Emission Factors and Reference Values v3.0, Tables 1.3 and 2.3. Published factors and aggregated formula reconcile.</t>
        </r>
      </text>
    </comment>
    <comment ref="B9" authorId="0" shapeId="0" xr:uid="{47D9A5E7-400E-4A2F-BE75-E6E70BCF8B13}">
      <text>
        <r>
          <rPr>
            <b/>
            <sz val="9"/>
            <color indexed="81"/>
            <rFont val="Tahoma"/>
            <family val="2"/>
          </rPr>
          <t>Reiniel Chan:</t>
        </r>
        <r>
          <rPr>
            <sz val="9"/>
            <color indexed="81"/>
            <rFont val="Tahoma"/>
            <family val="2"/>
          </rPr>
          <t xml:space="preserve">
Audit 2026-08-17: Numeric factors match ECCC Table 4.3 Motor Gasoline and the aggregated formula reconciles. This is a generic fuel factor; vehicle-technology-specific CH4/N2O factors should be considered if vehicle class/model year data is available.</t>
        </r>
      </text>
    </comment>
    <comment ref="B10" authorId="0" shapeId="0" xr:uid="{83C0E019-1049-45C2-A982-B7531723DE05}">
      <text>
        <r>
          <rPr>
            <b/>
            <sz val="9"/>
            <color indexed="81"/>
            <rFont val="Tahoma"/>
            <family val="2"/>
          </rPr>
          <t>Reiniel Chan:</t>
        </r>
        <r>
          <rPr>
            <sz val="9"/>
            <color indexed="81"/>
            <rFont val="Tahoma"/>
            <family val="2"/>
          </rPr>
          <t xml:space="preserve">
AUDIT FLAG 2026-08-17: Numeric values match ECCC Table 4.3, but the cited diesel rows are for Refineries and Others / Upgraders. The workbook applies this factor to company-owned light trucks, so the source category is not appropriate for road vehicles. Manually replace or validate CH4 and N2O using the latest ECCC National Inventory Report Annex 6 road-transport factors matched to the fleet vehicle class and technology/model year.</t>
        </r>
      </text>
    </comment>
    <comment ref="B11" authorId="0" shapeId="0" xr:uid="{00326A20-3209-4A5D-888D-78A143F0CC6C}">
      <text>
        <r>
          <rPr>
            <b/>
            <sz val="9"/>
            <color indexed="81"/>
            <rFont val="Tahoma"/>
            <family val="2"/>
          </rPr>
          <t>Reiniel Chan:</t>
        </r>
        <r>
          <rPr>
            <sz val="9"/>
            <color indexed="81"/>
            <rFont val="Tahoma"/>
            <family val="2"/>
          </rPr>
          <t xml:space="preserve">
Audit 2026-08-17: Verified against ECCC Table 5.3 for Ontario, calendar year 2026. Conversion from 59 g CO2e/kWh to 0.059 kg CO2e/kWh is correct.</t>
        </r>
      </text>
    </comment>
    <comment ref="B12" authorId="0" shapeId="0" xr:uid="{8A9E718E-0694-40B5-913C-3831B074C690}">
      <text>
        <r>
          <rPr>
            <b/>
            <sz val="9"/>
            <color indexed="81"/>
            <rFont val="Tahoma"/>
            <family val="2"/>
          </rPr>
          <t>Reiniel Chan:</t>
        </r>
        <r>
          <rPr>
            <sz val="9"/>
            <color indexed="81"/>
            <rFont val="Tahoma"/>
            <family val="2"/>
          </rPr>
          <t xml:space="preserve">
Audit 2026-08-17: Verified against ECCC Table 5.3 for Alberta, calendar year 2026. Conversion from 438 g CO2e/kWh to 0.438 kg CO2e/kWh is correct.</t>
        </r>
      </text>
    </comment>
    <comment ref="B13" authorId="0" shapeId="0" xr:uid="{4CDB8E59-4F2C-4EC3-8B1E-D369E2A9310B}">
      <text>
        <r>
          <rPr>
            <b/>
            <sz val="9"/>
            <color indexed="81"/>
            <rFont val="Tahoma"/>
            <family val="2"/>
          </rPr>
          <t>Reiniel Chan:</t>
        </r>
        <r>
          <rPr>
            <sz val="9"/>
            <color indexed="81"/>
            <rFont val="Tahoma"/>
            <family val="2"/>
          </rPr>
          <t xml:space="preserve">
Audit 2026-08-17: Verified against ECCC Table 5.3 for British Columbia, calendar year 2026. Conversion from 18 g CO2e/kWh to 0.018 kg CO2e/kWh is correct.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<sst xmlns="http://schemas.openxmlformats.org/spreadsheetml/2006/main" count="1517" uniqueCount="446">
  <si>
    <t>Framework:   GHG Protocol Corporate Standard</t>
  </si>
  <si>
    <t>Dashboard chart and KPI data</t>
  </si>
  <si>
    <t>Calculated from the Scope 1 and Scope 2 worksheets. These cells feed the cards, charts and insight text on the dashboard canvas above.</t>
  </si>
  <si>
    <t>tCO₂e</t>
  </si>
  <si>
    <t>Natural gas (stationary)</t>
  </si>
  <si>
    <t>Motor gasoline (mobile)</t>
  </si>
  <si>
    <t>Diesel (mobile)</t>
  </si>
  <si>
    <t>Province</t>
  </si>
  <si>
    <t>Toronto Office</t>
  </si>
  <si>
    <t>Ontario</t>
  </si>
  <si>
    <t>Calgary Office</t>
  </si>
  <si>
    <t>Alberta</t>
  </si>
  <si>
    <t>Vancouver Office</t>
  </si>
  <si>
    <t>British Columbia</t>
  </si>
  <si>
    <t>Scope 1</t>
  </si>
  <si>
    <t>Scope 2</t>
  </si>
  <si>
    <t>KPI and insight helper cells</t>
  </si>
  <si>
    <t>Total Scope 1 (tCO₂e)</t>
  </si>
  <si>
    <t>Total Scope 2 (tCO₂e)</t>
  </si>
  <si>
    <t>Total emissions (tCO₂e)</t>
  </si>
  <si>
    <t>Scope 1 share of total</t>
  </si>
  <si>
    <t>Scope 2 share of total</t>
  </si>
  <si>
    <t>Largest emitting facility</t>
  </si>
  <si>
    <t>Largest facility emissions (tCO₂e)</t>
  </si>
  <si>
    <t>Largest Scope 1 source</t>
  </si>
  <si>
    <t>Largest Scope 1 source (tCO₂e)</t>
  </si>
  <si>
    <t>Highest Scope 2 facility</t>
  </si>
  <si>
    <t>Highest Scope 2 facility (tCO₂e)</t>
  </si>
  <si>
    <t>Grid intensity at that facility (g CO₂e/kWh)</t>
  </si>
  <si>
    <t>Lowest grid intensity in portfolio (g CO₂e/kWh)</t>
  </si>
  <si>
    <t>Scope 1: Direct Emissions</t>
  </si>
  <si>
    <t>Sample activity data for a fictional organization. Cells with a cream background and blue text are inputs you can change. Every other cell is a formula.</t>
  </si>
  <si>
    <t>Record ID</t>
  </si>
  <si>
    <t>Date</t>
  </si>
  <si>
    <t>Facility</t>
  </si>
  <si>
    <t>Emission Source</t>
  </si>
  <si>
    <t>Activity / Fuel</t>
  </si>
  <si>
    <t>Activity Data</t>
  </si>
  <si>
    <t>Unit</t>
  </si>
  <si>
    <t>EF ID</t>
  </si>
  <si>
    <t>Aggregated Emission Factor</t>
  </si>
  <si>
    <t>EF Unit</t>
  </si>
  <si>
    <t>kg CO₂e</t>
  </si>
  <si>
    <t>Data Source / Evidence</t>
  </si>
  <si>
    <t>Notes</t>
  </si>
  <si>
    <t>S1-001</t>
  </si>
  <si>
    <t>Stationary combustion</t>
  </si>
  <si>
    <t>Natural gas</t>
  </si>
  <si>
    <t>m³</t>
  </si>
  <si>
    <t>EF-S1-NG-ON</t>
  </si>
  <si>
    <t>Building heating, marketable natural gas.</t>
  </si>
  <si>
    <t>S1-002</t>
  </si>
  <si>
    <t>S1-003</t>
  </si>
  <si>
    <t>S1-004</t>
  </si>
  <si>
    <t>S1-005</t>
  </si>
  <si>
    <t>Mobile combustion</t>
  </si>
  <si>
    <t>Motor gasoline</t>
  </si>
  <si>
    <t>L</t>
  </si>
  <si>
    <t>EF-S1-GAS</t>
  </si>
  <si>
    <t>Company owned passenger vehicles.</t>
  </si>
  <si>
    <t>S1-006</t>
  </si>
  <si>
    <t>S1-007</t>
  </si>
  <si>
    <t>S1-008</t>
  </si>
  <si>
    <t>S1-009</t>
  </si>
  <si>
    <t>Diesel</t>
  </si>
  <si>
    <t>EF-S1-DSL</t>
  </si>
  <si>
    <t>Company owned light trucks.</t>
  </si>
  <si>
    <t>S1-010</t>
  </si>
  <si>
    <t>S1-011</t>
  </si>
  <si>
    <t>S1-012</t>
  </si>
  <si>
    <t>S1-013</t>
  </si>
  <si>
    <t>EF-S1-NG-AB</t>
  </si>
  <si>
    <t>S1-014</t>
  </si>
  <si>
    <t>S1-015</t>
  </si>
  <si>
    <t>S1-016</t>
  </si>
  <si>
    <t>S1-017</t>
  </si>
  <si>
    <t>S1-018</t>
  </si>
  <si>
    <t>S1-019</t>
  </si>
  <si>
    <t>S1-020</t>
  </si>
  <si>
    <t>S1-021</t>
  </si>
  <si>
    <t>Company owned light trucks, field survey work.</t>
  </si>
  <si>
    <t>S1-022</t>
  </si>
  <si>
    <t>S1-023</t>
  </si>
  <si>
    <t>S1-024</t>
  </si>
  <si>
    <t>S1-025</t>
  </si>
  <si>
    <t>EF-S1-NG-BC</t>
  </si>
  <si>
    <t>S1-026</t>
  </si>
  <si>
    <t>S1-027</t>
  </si>
  <si>
    <t>S1-028</t>
  </si>
  <si>
    <t>S1-029</t>
  </si>
  <si>
    <t>Company owned passenger vehicles. No diesel vehicles at this site.</t>
  </si>
  <si>
    <t>S1-030</t>
  </si>
  <si>
    <t>S1-031</t>
  </si>
  <si>
    <t>S1-032</t>
  </si>
  <si>
    <t>TOTAL SCOPE 1</t>
  </si>
  <si>
    <t>kg CO₂e and tCO₂e</t>
  </si>
  <si>
    <t>Legend and method</t>
  </si>
  <si>
    <t>Input cells</t>
  </si>
  <si>
    <t>Activity Data in column H. Replace these with your own metered or invoiced quantities. Everything else recalculates.</t>
  </si>
  <si>
    <t>Formula cells</t>
  </si>
  <si>
    <t>Columns K, L, M and N. Emission factors are pulled from the Emission Factors DB sheet by EF ID, never typed in by hand.</t>
  </si>
  <si>
    <t>Calculation</t>
  </si>
  <si>
    <t>kg CO₂e = Activity Data x Aggregated EF.   tCO₂e = kg CO₂e / 1,000.</t>
  </si>
  <si>
    <t>Sample data</t>
  </si>
  <si>
    <t>All company names, facilities and activity quantities on this sheet are fictional and are included to demonstrate the calculation method.</t>
  </si>
  <si>
    <t>Scope 2: Purchased Electricity (location based)</t>
  </si>
  <si>
    <t>Location based method only. Provincial electricity consumption intensities come from ECCC Table 5.3 for 2026. No market based factors or renewable energy certificates are used in this workbook.</t>
  </si>
  <si>
    <t>Electricity Consumption</t>
  </si>
  <si>
    <t>Electricity Emission Factor</t>
  </si>
  <si>
    <t>S2-001</t>
  </si>
  <si>
    <t>kWh</t>
  </si>
  <si>
    <t>EF-S2-ELEC-ON</t>
  </si>
  <si>
    <t>Ontario grid intensity is low because of nuclear and hydro generation.</t>
  </si>
  <si>
    <t>S2-002</t>
  </si>
  <si>
    <t>S2-003</t>
  </si>
  <si>
    <t>S2-004</t>
  </si>
  <si>
    <t>S2-005</t>
  </si>
  <si>
    <t>EF-S2-ELEC-AB</t>
  </si>
  <si>
    <t>Alberta grid intensity is the highest of the three provinces in this inventory.</t>
  </si>
  <si>
    <t>S2-006</t>
  </si>
  <si>
    <t>S2-007</t>
  </si>
  <si>
    <t>S2-008</t>
  </si>
  <si>
    <t>S2-009</t>
  </si>
  <si>
    <t>EF-S2-ELEC-BC</t>
  </si>
  <si>
    <t>British Columbia grid is almost entirely hydroelectric.</t>
  </si>
  <si>
    <t>S2-010</t>
  </si>
  <si>
    <t>S2-011</t>
  </si>
  <si>
    <t>S2-012</t>
  </si>
  <si>
    <t>TOTAL SCOPE 2</t>
  </si>
  <si>
    <t>Electricity Consumption in column F. Replace with metered or invoiced kWh.</t>
  </si>
  <si>
    <t>Columns I, J, K and L. Factors are looked up from the Emission Factors DB sheet by EF ID.</t>
  </si>
  <si>
    <t>kg CO₂e = kWh x kg CO₂e/kWh.   tCO₂e = kg CO₂e / 1,000.</t>
  </si>
  <si>
    <t>All facilities and consumption figures on this sheet are fictional sample data.</t>
  </si>
  <si>
    <t>Emission Factors Database</t>
  </si>
  <si>
    <t>Every factor used anywhere in this workbook is listed here with its official source. Scope 1 rows keep the individual CO₂, CH₄ and N₂O factors published by ECCC and calculate a combined CO₂e factor. Scope 2 rows use factors ECCC already publishes as CO₂e.</t>
  </si>
  <si>
    <t>Scope</t>
  </si>
  <si>
    <t>Province / Territory</t>
  </si>
  <si>
    <t>Original EF Unit</t>
  </si>
  <si>
    <t>CO₂ EF</t>
  </si>
  <si>
    <t>CH₄ EF</t>
  </si>
  <si>
    <t>N₂O EF</t>
  </si>
  <si>
    <t>Published CO₂e EF</t>
  </si>
  <si>
    <t>CO₂ GWP</t>
  </si>
  <si>
    <t>CH₄ GWP</t>
  </si>
  <si>
    <t>N₂O GWP</t>
  </si>
  <si>
    <t>Aggregated EF</t>
  </si>
  <si>
    <t>Aggregated EF Unit</t>
  </si>
  <si>
    <t>EF Basis</t>
  </si>
  <si>
    <t>Applicable Calendar Year</t>
  </si>
  <si>
    <t>Source Organization</t>
  </si>
  <si>
    <t>Source Document</t>
  </si>
  <si>
    <t>Source Table</t>
  </si>
  <si>
    <t>Source URL</t>
  </si>
  <si>
    <t>Natural gas (marketable)</t>
  </si>
  <si>
    <t>g GHG/m³</t>
  </si>
  <si>
    <t>n/a</t>
  </si>
  <si>
    <t>kg CO₂e/m³</t>
  </si>
  <si>
    <t>Calculated CO₂e factor from ECCC gas specific emission factors</t>
  </si>
  <si>
    <t>Environment and Climate Change Canada (ECCC)</t>
  </si>
  <si>
    <t>Emission Factors and Reference Values, Version 3.0, October 2025</t>
  </si>
  <si>
    <t>Tables 1.3 and 2.3</t>
  </si>
  <si>
    <t>https://www.canada.ca/en/environment-climate-change/services/climate-change/pricing-pollution-how-it-will-work/output-based-pricing-system/federal-greenhouse-gas-offset-system/emission-factors-reference-values.html</t>
  </si>
  <si>
    <t>CO₂ from Table 1.3 (marketable). CH₄ and N₂O from Table 2.3, Residential, Construction, Commercial/Institutional, Agriculture row, which is the closest published match for a commercial office building.</t>
  </si>
  <si>
    <t>CO₂ from Table 1.3 (marketable). CH₄ and N₂O from Table 2.3, Residential, Construction, Commercial/Institutional, Agriculture row.</t>
  </si>
  <si>
    <t>Canada (all provinces)</t>
  </si>
  <si>
    <t>g GHG/L</t>
  </si>
  <si>
    <t>kg CO₂e/L</t>
  </si>
  <si>
    <t>Table 4.3</t>
  </si>
  <si>
    <t>Motor Gasoline row of Table 4.3. ECCC publishes a single national factor for this fuel, so the same factor applies at all three facilities.</t>
  </si>
  <si>
    <t>Purchased electricity</t>
  </si>
  <si>
    <t>Grid electricity (location based)</t>
  </si>
  <si>
    <t>g CO₂e/kWh</t>
  </si>
  <si>
    <t>kg CO₂e/kWh</t>
  </si>
  <si>
    <t>Published by ECCC directly as CO₂e</t>
  </si>
  <si>
    <t>Table 5.3</t>
  </si>
  <si>
    <t>Electricity consumption intensity for 2026. Already a combined CO₂e value, so no GWP step is applied. Converted to kg by dividing by 1,000.</t>
  </si>
  <si>
    <t>How the aggregated factor is built</t>
  </si>
  <si>
    <t>•  Scope 1 rows: Aggregated g CO₂e per activity unit = (CO₂ EF x CO₂ GWP) + (CH₄ EF x CH₄ GWP) + (N₂O EF x N₂O GWP). The result is divided by 1,000 to give kg CO₂e per activity unit.</t>
  </si>
  <si>
    <t>•  Scope 2 rows: ECCC publishes Table 5.3 already in g CO₂e/kWh, so the only step is to divide by 1,000. For example 59 g CO₂e/kWh becomes 0.059 kg CO₂e/kWh. No GWP multiplication is applied, because the gases have already been combined by ECCC.</t>
  </si>
  <si>
    <t>•  The EF Basis column states which of the two routes was used. Where the CO₂e factor was calculated here rather than published by ECCC, the EF Basis column says so.</t>
  </si>
  <si>
    <t>•  GWP values in columns L to N are linked to the GWP Reference sheet. They are shown in green to signal a link to another worksheet.</t>
  </si>
  <si>
    <t>•  Cells marked n/a are not applicable to that row rather than missing. Scope 1 rows have no published CO₂e factor, and Scope 2 rows have no separate gas by gas factors to report.</t>
  </si>
  <si>
    <t>Global Warming Potential Reference</t>
  </si>
  <si>
    <t>Values used to convert methane and nitrous oxide into carbon dioxide equivalent (CO₂e). These cells feed the aggregated factor formulas on the Emission Factors DB sheet.</t>
  </si>
  <si>
    <t>Greenhouse Gas</t>
  </si>
  <si>
    <t>Chemical Formula</t>
  </si>
  <si>
    <t>GWP</t>
  </si>
  <si>
    <t>Source</t>
  </si>
  <si>
    <t>Applicable Year / Version</t>
  </si>
  <si>
    <t>Carbon dioxide</t>
  </si>
  <si>
    <t>CO₂</t>
  </si>
  <si>
    <t>Greenhouse Gas Pollution Pricing Act, Schedule 3, Column 2</t>
  </si>
  <si>
    <t>In force for calendar year 2026 (Act current to 2026)</t>
  </si>
  <si>
    <t>https://laws-lois.justice.gc.ca/eng/acts/g-11.55/page-28.html</t>
  </si>
  <si>
    <t>Methane</t>
  </si>
  <si>
    <t>CH₄</t>
  </si>
  <si>
    <t>Nitrous oxide</t>
  </si>
  <si>
    <t>N₂O</t>
  </si>
  <si>
    <t>•  These are the 100 year global warming potentials set out in Schedule 3 to the Greenhouse Gas Pollution Pricing Act. They match the IPCC Fifth Assessment Report values.</t>
  </si>
  <si>
    <t>•  GWP is the factor used to express a non CO₂ gas as an equivalent quantity of carbon dioxide. One kilogram of methane counts as 28 kilograms of CO₂e.</t>
  </si>
  <si>
    <t>•  If Schedule 3 is amended, change the values in column D only. Every aggregated factor on the Emission Factors DB sheet updates automatically.</t>
  </si>
  <si>
    <t>Instructions and Methodology</t>
  </si>
  <si>
    <t>Purpose</t>
  </si>
  <si>
    <t>Organizational boundary</t>
  </si>
  <si>
    <t>The inventory uses the operational control approach. The fictional organization is assumed to have operational control over the three offices and over the vehicles in its fleet, so 100 percent of the emissions from those sources are reported.</t>
  </si>
  <si>
    <t>Reporting period: 1 January 2026 to 31 December 2026. Activity data is recorded quarterly.</t>
  </si>
  <si>
    <t>Scope 1: direct emissions</t>
  </si>
  <si>
    <t>Scope 1 covers emissions from sources the organization owns or controls. Two categories are included here.</t>
  </si>
  <si>
    <t>Stationary combustion: natural gas burned on site for building heating.</t>
  </si>
  <si>
    <t>Mobile combustion: motor gasoline and diesel burned in company owned vehicles.</t>
  </si>
  <si>
    <t>Fugitive emissions from refrigerants are not included. A full inventory would normally cover them, but this workbook sticks to sources that can be calculated directly from published ECCC factors. The gap is stated here rather than filled with an assumed number.</t>
  </si>
  <si>
    <t>Scope 2: purchased electricity</t>
  </si>
  <si>
    <t>Scope 2 covers indirect emissions from electricity bought and consumed at the three offices.</t>
  </si>
  <si>
    <t>Only the location based method is used. It applies the average emissions intensity of the provincial grid the facility sits on. Because the three provinces have very different generation mixes, the same kilowatt hour produces very different emissions in each one.</t>
  </si>
  <si>
    <t>No market based figure is reported. The fictional organization holds no renewable energy certificates or supplier specific contracts, so there is nothing to report on that basis and nothing has been invented.</t>
  </si>
  <si>
    <t>General formula</t>
  </si>
  <si>
    <t>The result is then divided by 1,000 to convert kilograms to tonnes, which is the unit used throughout the dashboard: tCO₂e = kg CO₂e / 1,000.</t>
  </si>
  <si>
    <t>How the aggregated emission factors are built</t>
  </si>
  <si>
    <t>ECCC publishes fuel combustion factors as three separate numbers: one each for CO₂, CH₄ and N₂O, in grams per unit of fuel. The Emission Factors DB sheet keeps those original numbers and calculates a single combined factor from them.</t>
  </si>
  <si>
    <t>Aggregated g CO₂e per unit = (CO₂ EF x CO₂ GWP) + (CH₄ EF x CH₄ GWP) + (N₂O EF x N₂O GWP). The result is divided by 1,000 to give kg CO₂e per unit.</t>
  </si>
  <si>
    <t>GWP means global warming potential, the multiplier that converts a non CO₂ gas into an equivalent amount of carbon dioxide. The values used are from Schedule 3 of the Greenhouse Gas Pollution Pricing Act: CO₂ = 1, CH₄ = 28, N₂O = 265. They sit on the GWP Reference sheet and are linked into the factor formulas rather than typed in repeatedly.</t>
  </si>
  <si>
    <t>Electricity works differently. ECCC Table 5.3 already reports a combined CO₂e intensity in g CO₂e/kWh, so no GWP step is applied. The only conversion is grams to kilograms: 59 g CO₂e/kWh becomes 0.059 kg CO₂e/kWh.</t>
  </si>
  <si>
    <t>Emission factor sources</t>
  </si>
  <si>
    <t>All emission factors come from Environment and Climate Change Canada, Emission Factors and Reference Values, Version 3.0, October 2025, using the tables ECCC specifies for calendar year 2026.</t>
  </si>
  <si>
    <t>Table 1.3: CO₂ emission factors for natural gas, 2026 (marketable gas, by province).</t>
  </si>
  <si>
    <t>Table 2.3: CH₄ and N₂O emission factors for natural gas, 2026.</t>
  </si>
  <si>
    <t>Table 4.3: emission factors for refined petroleum products, 2026 (motor gasoline and diesel).</t>
  </si>
  <si>
    <t>Table 5.3: electricity consumption intensities in g CO₂e/kWh, 2026 (by province).</t>
  </si>
  <si>
    <t>One point worth stating plainly: ECCC publishes this document for Canada's federal Greenhouse Gas Offset Credit System. This workbook is not an offset project and the fictional organization is not regulated under that system. The document is used here because it is the current official Canadian source for these factors, and the factors are applied as inputs to a sample corporate GHG inventory prepared under the GHG Protocol Corporate Standard.</t>
  </si>
  <si>
    <t>Where a combined CO₂e factor was calculated in this workbook rather than published directly by ECCC, the EF Basis column on the Emission Factors DB sheet says so.</t>
  </si>
  <si>
    <t>How to trace a number</t>
  </si>
  <si>
    <t>A reviewer can follow any figure on the dashboard back to its source in five steps.</t>
  </si>
  <si>
    <t>1. Dashboard KPI or chart, backed by the chart and KPI data block below the dashboard canvas.</t>
  </si>
  <si>
    <t>2. Calculation record on the Scope 1 or Scope 2 sheet, found by facility and source.</t>
  </si>
  <si>
    <t>3. EF ID on that row, which points to one row in the Emission Factors DB.</t>
  </si>
  <si>
    <t>4. Original ECCC CO₂, CH₄ and N₂O factors, plus the GWP values used to combine them, both shown on that row.</t>
  </si>
  <si>
    <t>5. Source organization, document, table number, applicable year and URL, recorded on the same row.</t>
  </si>
  <si>
    <t>Using the workbook</t>
  </si>
  <si>
    <t>Cells with a cream background and blue text are inputs. Change the activity quantities in column H on the Scope 1 sheet and column F on the Scope 2 sheet, and everything else recalculates, including the dashboard cards, charts and insight text.</t>
  </si>
  <si>
    <t>Do not type emission factors into calculation rows. Add or amend factors on the Emission Factors DB sheet and reference them by EF ID. If an EF ID does not match, the row returns "EF ID not found" and "Check EF ID" rather than a silent zero.</t>
  </si>
  <si>
    <t>To add a facility, add rows to the Scope 1 and Scope 2 tables, then add the facility to the chart and KPI data block on the Dashboard sheet so the visuals pick it up.</t>
  </si>
  <si>
    <t>The workbook uses standard Excel functionality only. There are no macros.</t>
  </si>
  <si>
    <t>Limitations</t>
  </si>
  <si>
    <t>The activity data is fictional and does not represent any real organization.</t>
  </si>
  <si>
    <t>Fugitive emissions, and any Scope 1 sources beyond the fuels listed, are excluded.</t>
  </si>
  <si>
    <t>Scope 3 is outside the boundary of this workbook.</t>
  </si>
  <si>
    <t>Scope 2 is reported on the location based method only.</t>
  </si>
  <si>
    <t>Emission factors should be rechecked against the ECCC page each reporting year, because ECCC publishes a new set of year specific tables annually.</t>
  </si>
  <si>
    <t>Reference links</t>
  </si>
  <si>
    <t>ECCC Emission Factors and Reference Values, Version 3.0 (October 2025)</t>
  </si>
  <si>
    <t>Greenhouse Gas Pollution Pricing Act, Schedule 3 (global warming potentials)</t>
  </si>
  <si>
    <t>Reiniel Celgie Chan Analytics</t>
  </si>
  <si>
    <t>Column Labels</t>
  </si>
  <si>
    <t>Grand Total</t>
  </si>
  <si>
    <t>Mar</t>
  </si>
  <si>
    <t>Jun</t>
  </si>
  <si>
    <t>Sep</t>
  </si>
  <si>
    <t>Dec</t>
  </si>
  <si>
    <t>Sum of tCO₂e</t>
  </si>
  <si>
    <t>Row Labels</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</si>
  <si>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</si>
  <si>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</si>
  <si>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</si>
  <si>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</si>
  <si>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</si>
  <si>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</si>
  <si>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</si>
  <si>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</si>
  <si>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</si>
  <si>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</si>
  <si>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</si>
  <si>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</si>
  <si>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</si>
  <si>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</si>
  <si>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</si>
  <si>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</si>
  <si>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</si>
  <si>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</si>
  <si>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</si>
  <si>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</si>
  <si>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</si>
  <si>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</si>
  <si>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</si>
  <si>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</si>
  <si>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Electricity utility invoice (sample), January 2026</t>
  </si>
  <si>
    <t>Electricity utility invoice (sample), February 2026</t>
  </si>
  <si>
    <t>Electricity utility invoice (sample), March 2026</t>
  </si>
  <si>
    <t>Electricity utility invoice (sample), April 2026</t>
  </si>
  <si>
    <t>Electricity utility invoice (sample), May 2026</t>
  </si>
  <si>
    <t>Electricity utility invoice (sample), June 2026</t>
  </si>
  <si>
    <t>Electricity utility invoice (sample), July 2026</t>
  </si>
  <si>
    <t>Electricity utility invoice (sample), August 2026</t>
  </si>
  <si>
    <t>Electricity utility invoice (sample), September 2026</t>
  </si>
  <si>
    <t>Electricity utility invoice (sample), October 2026</t>
  </si>
  <si>
    <t>Electricity utility invoice (sample), November 2026</t>
  </si>
  <si>
    <t>Electricity utility invoice (sample), December 2026</t>
  </si>
  <si>
    <t>Jan</t>
  </si>
  <si>
    <t>Feb</t>
  </si>
  <si>
    <t>Apr</t>
  </si>
  <si>
    <t>May</t>
  </si>
  <si>
    <t>Jul</t>
  </si>
  <si>
    <t>Aug</t>
  </si>
  <si>
    <t>Oct</t>
  </si>
  <si>
    <t>Nov</t>
  </si>
  <si>
    <t>•  AR6 (IPCC Sixth Assessment) is not used here even though the GHG Protocol recommends it as the latest science. Canada's Greenhouse Gas Pollution Pricing Act, Schedule 3, which is legally binding for federal carbon pricing / OBPS compliance in 2026 is legislated on AR5 values, and the ECCC emission factors on the Emission Factors DB sheet (Version 3.0, October 2025) are built on that same AR5 basis. Using AR6 (CH₄ non-fossil 27.0, CH₄ fossil 29.8, N₂O 273) would create a mismatch with the statutory factors and misstate compliance totals. Revisit this choice if Schedule 3 is amended, or if this workbook is repurposed for voluntary AR6-aligned disclosure (e.g., CDP, SBTi, ESRS).</t>
  </si>
  <si>
    <t>Gas utility invoice (sample), January 2026</t>
  </si>
  <si>
    <t>Gas utility invoice (sample), February 2026</t>
  </si>
  <si>
    <t>Gas utility invoice (sample), March 2026</t>
  </si>
  <si>
    <t>Gas utility invoice (sample), April 2026</t>
  </si>
  <si>
    <t>Gas utility invoice (sample), May 2026</t>
  </si>
  <si>
    <t>Gas utility invoice (sample), June 2026</t>
  </si>
  <si>
    <t>Gas utility invoice (sample), July 2026</t>
  </si>
  <si>
    <t>Gas utility invoice (sample), August 2026</t>
  </si>
  <si>
    <t>Gas utility invoice (sample), September 2026</t>
  </si>
  <si>
    <t>Gas utility invoice (sample), October 2026</t>
  </si>
  <si>
    <t>Gas utility invoice (sample), November 2026</t>
  </si>
  <si>
    <t>Gas utility invoice (sample), December 2026</t>
  </si>
  <si>
    <t>Fleet fuel card statement (sample), January 2026</t>
  </si>
  <si>
    <t>Fleet fuel card statement (sample), February 2026</t>
  </si>
  <si>
    <t>Fleet fuel card statement (sample), March 2026</t>
  </si>
  <si>
    <t>Fleet fuel card statement (sample), April 2026</t>
  </si>
  <si>
    <t>Fleet fuel card statement (sample), May 2026</t>
  </si>
  <si>
    <t>Fleet fuel card statement (sample), June 2026</t>
  </si>
  <si>
    <t>Fleet fuel card statement (sample), July 2026</t>
  </si>
  <si>
    <t>Fleet fuel card statement (sample), August 2026</t>
  </si>
  <si>
    <t>Fleet fuel card statement (sample), September 2026</t>
  </si>
  <si>
    <t>Fleet fuel card statement (sample), October 2026</t>
  </si>
  <si>
    <t>Fleet fuel card statement (sample), November 2026</t>
  </si>
  <si>
    <t>Fleet fuel card statement (sample), December 2026</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</si>
  <si>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</si>
  <si>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</si>
  <si>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</si>
  <si>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</si>
  <si>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</si>
  <si>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</si>
  <si>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</si>
  <si>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</si>
  <si>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</si>
  <si>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</si>
  <si>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</si>
  <si>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</si>
  <si>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</si>
  <si>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</si>
  <si>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</si>
  <si>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</si>
  <si>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</si>
  <si>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</si>
  <si>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</si>
  <si>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</si>
  <si>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</si>
  <si>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</si>
  <si>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</si>
  <si>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</si>
  <si>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</si>
  <si>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</si>
  <si>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</si>
  <si>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</si>
  <si>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</si>
  <si>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</si>
  <si>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</si>
  <si>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</si>
  <si>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</si>
  <si>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</si>
  <si>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</si>
  <si>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</si>
  <si>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</si>
  <si>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</si>
  <si>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</si>
  <si>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</si>
  <si>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</si>
  <si>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</si>
  <si>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</si>
  <si>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</si>
  <si>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</si>
  <si>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</si>
  <si>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</si>
  <si>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</si>
  <si>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</si>
  <si>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</si>
  <si>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</si>
  <si>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</si>
  <si>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</si>
  <si>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</si>
  <si>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</si>
  <si>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</si>
  <si>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</si>
  <si>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</si>
  <si>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</si>
  <si>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</si>
  <si>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</si>
  <si>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</si>
  <si>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</si>
  <si>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</si>
  <si>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Emissions (kg CO₂e) = Activity Data × Aggregated Emission Factor (kg CO₂e per unit)</t>
  </si>
  <si>
    <t>In this workbook, the emission factor used in the Scope 1 and Scope 2 calculation rows is already expressed in CO₂e. For fuel combustion, the CO₂, CH₄ and N₂O factors are first multiplied by their respective GWP values and combined in the Emission Factors DB. GWP is therefore not multiplied again in the activity data calculation.</t>
  </si>
  <si>
    <t>Workbook creator and customization</t>
  </si>
  <si>
    <t>This sample workbook was created by Reiniel Celgie Chan for demonstration and portfolio purposes. Company X by RCC, its facilities and its activity data are fictional.</t>
  </si>
  <si>
    <t>The workbook demonstrates a transparent Scope 1 and Scope 2 GHG inventory structure. It is not a substitute for an organization-specific assessment or assurance engagement.</t>
  </si>
  <si>
    <t>For a tailored version aligned with a company's organizational boundary, operations, emission sources, data availability and reporting requirements, please contact Reiniel Celgie Chan.</t>
  </si>
  <si>
    <t>This workbook demonstrates Scope 1 and Scope 2 greenhouse gas accounting for Company X by RCC, a fictional Canadian organization with offices in Toronto, Calgary and Vancouver. It was created as a portfolio sample to demonstrate the calculation method, data structure and audit trail behind a corporate GHG inventory.</t>
  </si>
  <si>
    <t>Simplified diesel proxy — user methodology selection required</t>
  </si>
  <si>
    <t>The current values are retained as a temporary simplified proxy and are not automatically conservative. Scope 1 describes these sources as company-owned light trucks. For a tailored inventory, use the latest ECCC National Inventory Report Annex 6 table for Light-duty Diesel Trucks and select the applicable emissions-control category shown in the source. Enter the selected published CO₂, CH₄ and N₂O factors in columns H to J; the aggregated CO₂e factor in column O will update automatically. If the control category is unknown, document the proxy selected and the reason for the selection.</t>
  </si>
  <si>
    <t>Diesel vehicle methodology: Annex 6 publishes mobile-combustion factors by vehicle class and emissions-control category. This workbook identifies the diesel fleet as company-owned light trucks. The current diesel factor is retained as a clearly disclosed proxy and is not assumed to be conservative. Users should replace the CO₂, CH₄ and N₂O inputs on the Emission Factors DB with the latest published Light-duty Diesel Trucks factors and the applicable control category. If the category is unknown, document the proxy and rationale used.</t>
  </si>
  <si>
    <t>Monthly emissions trend</t>
  </si>
  <si>
    <t>Scope 1 (tCO₂e)</t>
  </si>
  <si>
    <t>Scope 2 (tCO₂e)</t>
  </si>
  <si>
    <t>LIVE RESULT</t>
  </si>
  <si>
    <t>Management focus</t>
  </si>
  <si>
    <t>Canadian Company X GHG Inventory Dashboard</t>
  </si>
  <si>
    <t>Company X by RCC (fictional)   |   Reporting Calendar Year 2026   |   GHG Protocol Corporate Standard</t>
  </si>
  <si>
    <t>Scope 1 emissions by source — sorted low to high (for chart)</t>
  </si>
  <si>
    <t>% of Scope 1</t>
  </si>
  <si>
    <t>Chart axis label</t>
  </si>
  <si>
    <t>Management focus lookup (small reference table)</t>
  </si>
  <si>
    <t>Source label</t>
  </si>
  <si>
    <t>Signal text</t>
  </si>
  <si>
    <t>Efficiency + fuel mix</t>
  </si>
  <si>
    <t>Fleet transition</t>
  </si>
  <si>
    <t>Efficiency + electrify</t>
  </si>
  <si>
    <t>Diesel reduction</t>
  </si>
  <si>
    <t>Efficiency + fuel switch</t>
  </si>
  <si>
    <t>Fallback (unmapped source): "Review emission drivers" / "Efficiency review"</t>
  </si>
  <si>
    <t>Facility totals — sorted low to high (for chart)</t>
  </si>
  <si>
    <t>Total (tCO₂e)</t>
  </si>
  <si>
    <t>Largest Scope 1 source, % of total emissions (for KPI 4)</t>
  </si>
  <si>
    <t>Highest Scope 2 facility, % of Scope 2</t>
  </si>
  <si>
    <t>Reporting year (from data)</t>
  </si>
  <si>
    <t>Scope 1 and Scope 2 Emissions</t>
  </si>
  <si>
    <t>tCO₂e   |   Scope 1 + Scope 2</t>
  </si>
  <si>
    <t>Emission Factors: ECCC applicable to Calendar Year 2026</t>
  </si>
  <si>
    <t>Peak Emission Month helper cells</t>
  </si>
  <si>
    <t>Peak month (name)</t>
  </si>
  <si>
    <t>Peak month emissions (tCO₂e)</t>
  </si>
  <si>
    <t>Monthly average emissions (tCO₂e)</t>
  </si>
  <si>
    <t>Peak vs monthly average</t>
  </si>
  <si>
    <t>Single-year reporting template. For a year-on-year comparison-ready version, contact Reiniel Celgie Chan.</t>
  </si>
  <si>
    <t>Main contributor to monthly movement</t>
  </si>
  <si>
    <t>MANAGEMENT INSIGHTS</t>
  </si>
  <si>
    <t>MANAGEMENT INSIGHT</t>
  </si>
  <si>
    <t>MANAGEMENT SIGNAL</t>
  </si>
  <si>
    <t>Inventory profile</t>
  </si>
  <si>
    <t>Facility priority</t>
  </si>
  <si>
    <t>Highest-priority facility</t>
  </si>
  <si>
    <t>Recent movement</t>
  </si>
  <si>
    <t>Reduction focus</t>
  </si>
  <si>
    <t>All company details, facility names and activity quantities are invented. The emission factors are real and come from official Canadian government sources.
This sample workbook was created by Reiniel Celgie Chan for demonstration and portfolio purposes. Company X by RCC, its facilities and its activity data are fictional.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</si>
</sst>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yyyy\-mm\-dd"/>
    <numFmt numFmtId="167" formatCode="0.000000"/>
    <numFmt numFmtId="168" formatCode="#,##0.000"/>
    <numFmt numFmtId="169" formatCode="0.000"/>
    <numFmt numFmtId="170" formatCode="mmm"/>
  </numFmts>
  <fonts count="64" x14ac:knownFonts="1">
    <font>
      <sz val="11"/>
      <color theme="1"/>
      <name val="Calibri"/>
      <family val="2"/>
      <charset val="1"/>
    </font>
    <font>
      <b/>
      <sz val="9"/>
      <color rgb="FF22312A"/>
      <name val="Arial"/>
      <charset val="1"/>
    </font>
    <font>
      <sz val="9"/>
      <color rgb="FF6E7F76"/>
      <name val="Arial"/>
      <charset val="1"/>
    </font>
    <font>
      <b/>
      <sz val="9"/>
      <color rgb="FFFFFFFF"/>
      <name val="Arial"/>
      <charset val="1"/>
    </font>
    <font>
      <sz val="9"/>
      <color rgb="FF22312A"/>
      <name val="Arial"/>
      <charset val="1"/>
    </font>
    <font>
      <i/>
      <sz val="8"/>
      <color rgb="FF6E7F76"/>
      <name val="Arial"/>
      <charset val="1"/>
    </font>
    <font>
      <b/>
      <sz val="11"/>
      <color rgb="FF1B4332"/>
      <name val="Arial"/>
      <charset val="1"/>
    </font>
    <font>
      <b/>
      <sz val="9"/>
      <color rgb="FF1B4332"/>
      <name val="Arial"/>
      <charset val="1"/>
    </font>
    <font>
      <b/>
      <sz val="14"/>
      <color rgb="FF1B4332"/>
      <name val="Arial"/>
      <charset val="1"/>
    </font>
    <font>
      <sz val="9"/>
      <color rgb="FF1F4E79"/>
      <name val="Arial"/>
      <charset val="1"/>
    </font>
    <font>
      <b/>
      <sz val="10"/>
      <color rgb="FFFFFFFF"/>
      <name val="Arial"/>
      <charset val="1"/>
    </font>
    <font>
      <sz val="10"/>
      <color rgb="FF22312A"/>
      <name val="Arial"/>
      <charset val="1"/>
    </font>
    <font>
      <b/>
      <sz val="9"/>
      <color rgb="FF1F4E79"/>
      <name val="Arial"/>
      <charset val="1"/>
    </font>
    <font>
      <sz val="9"/>
      <color rgb="FF008000"/>
      <name val="Arial"/>
      <charset val="1"/>
    </font>
    <font>
      <b/>
      <sz val="10"/>
      <color rgb="FF22312A"/>
      <name val="Arial"/>
      <charset val="1"/>
    </font>
    <font>
      <u/>
      <sz val="11"/>
      <color theme="10"/>
      <name val="Calibri"/>
      <family val="2"/>
      <charset val="1"/>
    </font>
    <font>
      <b/>
      <sz val="11"/>
      <color theme="0"/>
      <name val="Calibri"/>
      <family val="2"/>
    </font>
    <font>
      <sz val="9"/>
      <color rgb="FF22312A"/>
      <name val="Arial"/>
      <family val="2"/>
    </font>
    <font>
      <sz val="9"/>
      <color rgb="FF6E7F76"/>
      <name val="Arial"/>
      <family val="2"/>
    </font>
    <font>
      <b/>
      <sz val="9"/>
      <color rgb="FFFFFFFF"/>
      <name val="Arial"/>
      <family val="2"/>
    </font>
    <font>
      <b/>
      <sz val="9"/>
      <color rgb="FF000000"/>
      <name val="Arial"/>
      <family val="2"/>
    </font>
    <font>
      <sz val="9"/>
      <color rgb="FF000000"/>
      <name val="Arial"/>
      <family val="2"/>
    </font>
    <font>
      <b/>
      <sz val="14"/>
      <color rgb="FF1B4332"/>
      <name val="Arial"/>
      <family val="2"/>
    </font>
    <font>
      <b/>
      <sz val="10"/>
      <color rgb="FF1B4332"/>
      <name val="Arial"/>
      <family val="2"/>
    </font>
    <font>
      <u/>
      <sz val="9"/>
      <color rgb="FF0563C1"/>
      <name val="Arial"/>
      <family val="2"/>
    </font>
    <font>
      <sz val="9"/>
      <color indexed="81"/>
      <name val="Tahoma"/>
      <family val="2"/>
    </font>
    <font>
      <b/>
      <sz val="9"/>
      <color indexed="81"/>
      <name val="Tahoma"/>
      <family val="2"/>
    </font>
    <font>
      <sz val="9"/>
      <color rgb="FF9C0006"/>
      <name val="Arial"/>
      <family val="2"/>
    </font>
    <font>
      <sz val="9"/>
      <color indexed="81"/>
      <name val="Tahoma"/>
      <charset val="1"/>
    </font>
    <font>
      <b/>
      <sz val="9"/>
      <color indexed="81"/>
      <name val="Tahoma"/>
      <charset val="1"/>
    </font>
    <font>
      <sz val="11"/>
      <color theme="1"/>
      <name val="Segoe UI"/>
    </font>
    <font>
      <b/>
      <sz val="9"/>
      <color rgb="FF2D6A4F"/>
      <name val="Segoe UI"/>
    </font>
    <font>
      <b/>
      <sz val="9"/>
      <color rgb="FF22312A"/>
      <name val="Segoe UI"/>
    </font>
    <font>
      <b/>
      <sz val="17"/>
      <color rgb="FF1B4332"/>
      <name val="Segoe UI"/>
    </font>
    <font>
      <sz val="9"/>
      <color rgb="FF6E7F76"/>
      <name val="Segoe UI"/>
    </font>
    <font>
      <sz val="9.5"/>
      <color rgb="FF6E7F76"/>
      <name val="Segoe UI"/>
    </font>
    <font>
      <sz val="8"/>
      <color rgb="FFB0B0B0"/>
      <name val="Segoe UI"/>
    </font>
    <font>
      <b/>
      <sz val="8"/>
      <color rgb="FFB0B0B0"/>
      <name val="Segoe UI"/>
    </font>
    <font>
      <b/>
      <sz val="8"/>
      <color rgb="FFFFFFFF"/>
      <name val="Segoe UI"/>
    </font>
    <font>
      <b/>
      <sz val="9"/>
      <color rgb="FFFFFFFF"/>
      <name val="Segoe UI"/>
    </font>
    <font>
      <sz val="8"/>
      <color rgb="FF6E7F76"/>
      <name val="Segoe UI"/>
    </font>
    <font>
      <sz val="11"/>
      <color rgb="FFFF0000"/>
      <name val="Calibri"/>
      <family val="2"/>
      <charset val="1"/>
    </font>
    <font>
      <b/>
      <sz val="17"/>
      <color rgb="FF1B4332"/>
      <name val="Segoe UI"/>
      <family val="2"/>
    </font>
    <font>
      <sz val="9.5"/>
      <color rgb="FF6E7F76"/>
      <name val="Segoe UI"/>
      <family val="2"/>
    </font>
    <font>
      <b/>
      <sz val="11"/>
      <color theme="0" tint="-4.9989318521683403E-2"/>
      <name val="Arial"/>
      <family val="2"/>
    </font>
    <font>
      <sz val="11"/>
      <color theme="0" tint="-4.9989318521683403E-2"/>
      <name val="Calibri"/>
      <family val="2"/>
      <charset val="1"/>
    </font>
    <font>
      <sz val="9"/>
      <color theme="0" tint="-4.9989318521683403E-2"/>
      <name val="Arial"/>
      <family val="2"/>
    </font>
    <font>
      <b/>
      <sz val="9"/>
      <color theme="0" tint="-4.9989318521683403E-2"/>
      <name val="Arial"/>
      <family val="2"/>
    </font>
    <font>
      <i/>
      <sz val="9"/>
      <color theme="0" tint="-4.9989318521683403E-2"/>
      <name val="Arial"/>
      <family val="2"/>
    </font>
    <font>
      <b/>
      <sz val="9"/>
      <color rgb="FF1B4332"/>
      <name val="Arial"/>
      <family val="2"/>
    </font>
    <font>
      <b/>
      <sz val="9"/>
      <color rgb="FF22312A"/>
      <name val="Arial"/>
      <family val="2"/>
    </font>
    <font>
      <b/>
      <sz val="11"/>
      <color rgb="FF1B4332"/>
      <name val="Arial"/>
      <family val="2"/>
    </font>
    <font>
      <b/>
      <sz val="9"/>
      <color rgb="FF42564C"/>
      <name val="Arial"/>
      <family val="2"/>
    </font>
    <font>
      <i/>
      <sz val="8"/>
      <color rgb="FF6E7F76"/>
      <name val="Arial"/>
      <family val="2"/>
    </font>
    <font>
      <i/>
      <sz val="9"/>
      <color rgb="FF22312A"/>
      <name val="Arial"/>
      <family val="2"/>
    </font>
    <font>
      <b/>
      <i/>
      <sz val="9"/>
      <color rgb="FF1B4332"/>
      <name val="Arial"/>
      <family val="2"/>
    </font>
    <font>
      <sz val="9"/>
      <color rgb="FF6E7F76"/>
      <name val="Segoe UI"/>
      <family val="2"/>
    </font>
    <font>
      <b/>
      <sz val="11"/>
      <color rgb="FFFFFFFF"/>
      <name val="Segoe UI"/>
      <family val="2"/>
    </font>
    <font>
      <i/>
      <sz val="7"/>
      <color rgb="FF9AA6A0"/>
      <name val="Segoe UI"/>
      <family val="2"/>
    </font>
    <font>
      <b/>
      <sz val="8"/>
      <color rgb="FF42564C"/>
      <name val="Segoe UI"/>
      <family val="2"/>
    </font>
    <font>
      <b/>
      <sz val="9"/>
      <color rgb="FF33483D"/>
      <name val="Segoe UI"/>
      <family val="2"/>
    </font>
    <font>
      <b/>
      <sz val="9"/>
      <color rgb="FF102D22"/>
      <name val="Segoe UI"/>
      <family val="2"/>
    </font>
    <font>
      <b/>
      <sz val="9"/>
      <color rgb="FF1B4332"/>
      <name val="Segoe UI"/>
      <family val="2"/>
    </font>
    <font>
      <i/>
      <sz val="8"/>
      <color rgb="FF607068"/>
      <name val="Segoe UI"/>
      <family val="2"/>
    </font>
  </fonts>
  <fills count="21">
    <fill>
      <patternFill patternType="none"/>
    </fill>
    <fill>
      <patternFill patternType="gray125"/>
    </fill>
    <fill>
      <patternFill patternType="solid">
        <fgColor rgb="FFF4F6F5"/>
        <bgColor rgb="FFEAF2ED"/>
      </patternFill>
    </fill>
    <fill>
      <patternFill patternType="solid">
        <fgColor rgb="FF1B4332"/>
        <bgColor rgb="FF22312A"/>
      </patternFill>
    </fill>
    <fill>
      <patternFill patternType="solid">
        <fgColor rgb="FFFFF8E6"/>
        <bgColor rgb="FFF4F6F5"/>
      </patternFill>
    </fill>
    <fill>
      <patternFill patternType="solid">
        <fgColor rgb="FFEAF2ED"/>
        <bgColor rgb="FFF4F6F5"/>
      </patternFill>
    </fill>
    <fill>
      <patternFill patternType="solid">
        <fgColor rgb="FFFFFFFF"/>
        <bgColor indexed="64"/>
      </patternFill>
    </fill>
    <fill>
      <patternFill patternType="solid">
        <fgColor rgb="FF1B4332"/>
        <bgColor indexed="64"/>
      </patternFill>
    </fill>
    <fill>
      <patternFill patternType="solid">
        <fgColor rgb="FFE2F0D9"/>
        <bgColor indexed="64"/>
      </patternFill>
    </fill>
    <fill>
      <patternFill patternType="solid">
        <fgColor rgb="FFF4F6F5"/>
        <bgColor indexed="64"/>
      </patternFill>
    </fill>
    <fill>
      <patternFill patternType="solid">
        <fgColor rgb="FFFFF2CC"/>
        <bgColor indexed="64"/>
      </patternFill>
    </fill>
    <fill>
      <patternFill patternType="solid">
        <fgColor rgb="FFFFC7CE"/>
        <bgColor indexed="64"/>
      </patternFill>
    </fill>
    <fill>
      <patternFill patternType="solid">
        <fgColor theme="0"/>
        <bgColor rgb="FFEAF2ED"/>
      </patternFill>
    </fill>
    <fill>
      <patternFill patternType="solid">
        <fgColor theme="0"/>
        <bgColor indexed="64"/>
      </patternFill>
    </fill>
    <fill>
      <patternFill patternType="solid">
        <fgColor rgb="FF174D35"/>
        <bgColor indexed="64"/>
      </patternFill>
    </fill>
    <fill>
      <patternFill patternType="solid">
        <fgColor rgb="FFF6F8F7"/>
        <bgColor indexed="64"/>
      </patternFill>
    </fill>
    <fill>
      <patternFill patternType="solid">
        <fgColor rgb="FFF1F4F2"/>
        <bgColor indexed="64"/>
      </patternFill>
    </fill>
    <fill>
      <patternFill patternType="solid">
        <fgColor rgb="FFF3F5F4"/>
        <bgColor indexed="64"/>
      </patternFill>
    </fill>
    <fill>
      <patternFill patternType="solid">
        <fgColor theme="6" tint="0.79998168889431442"/>
        <bgColor indexed="64"/>
      </patternFill>
    </fill>
    <fill>
      <patternFill patternType="solid">
        <fgColor rgb="FFE8F3EC"/>
        <bgColor indexed="64"/>
      </patternFill>
    </fill>
    <fill>
      <patternFill patternType="solid">
        <fgColor theme="6" tint="0.59999389629810485"/>
        <bgColor indexed="64"/>
      </patternFill>
    </fill>
  </fills>
  <borders count="41">
    <border>
      <left/>
      <right/>
      <top/>
      <bottom/>
      <diagonal/>
    </border>
    <border>
      <left style="thin">
        <color rgb="FFD5DED8"/>
      </left>
      <right/>
      <top style="thin">
        <color rgb="FFD5DED8"/>
      </top>
      <bottom/>
      <diagonal/>
    </border>
    <border>
      <left/>
      <right/>
      <top style="thin">
        <color rgb="FFD5DED8"/>
      </top>
      <bottom/>
      <diagonal/>
    </border>
    <border>
      <left/>
      <right style="thin">
        <color rgb="FFD5DED8"/>
      </right>
      <top style="thin">
        <color rgb="FFD5DED8"/>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rgb="FF9BB8AA"/>
      </bottom>
      <diagonal/>
    </border>
    <border>
      <left style="thick">
        <color rgb="FF8FC8A9"/>
      </left>
      <right/>
      <top/>
      <bottom/>
      <diagonal/>
    </border>
    <border>
      <left/>
      <right/>
      <top style="medium">
        <color rgb="FF58A37B"/>
      </top>
      <bottom style="medium">
        <color rgb="FF58A37B"/>
      </bottom>
      <diagonal/>
    </border>
    <border>
      <left style="medium">
        <color rgb="FF58A37B"/>
      </left>
      <right/>
      <top style="medium">
        <color rgb="FF58A37B"/>
      </top>
      <bottom style="medium">
        <color rgb="FF58A37B"/>
      </bottom>
      <diagonal/>
    </border>
    <border>
      <left/>
      <right style="medium">
        <color rgb="FF58A37B"/>
      </right>
      <top style="medium">
        <color rgb="FF58A37B"/>
      </top>
      <bottom style="medium">
        <color rgb="FF58A37B"/>
      </bottom>
      <diagonal/>
    </border>
    <border>
      <left style="thick">
        <color rgb="FF5A9CAE"/>
      </left>
      <right/>
      <top/>
      <bottom/>
      <diagonal/>
    </border>
    <border>
      <left style="thick">
        <color rgb="FFD7A94A"/>
      </left>
      <right/>
      <top/>
      <bottom/>
      <diagonal/>
    </border>
    <border>
      <left style="thick">
        <color rgb="FFD57C62"/>
      </left>
      <right/>
      <top/>
      <bottom/>
      <diagonal/>
    </border>
    <border>
      <left/>
      <right/>
      <top/>
      <bottom style="thin">
        <color rgb="FFC7D8D0"/>
      </bottom>
      <diagonal/>
    </border>
    <border>
      <left/>
      <right style="thin">
        <color indexed="64"/>
      </right>
      <top style="thin">
        <color indexed="64"/>
      </top>
      <bottom style="thin">
        <color rgb="FFC00000"/>
      </bottom>
      <diagonal/>
    </border>
    <border>
      <left/>
      <right/>
      <top/>
      <bottom style="thin">
        <color rgb="FFD8E0DC"/>
      </bottom>
      <diagonal/>
    </border>
    <border>
      <left/>
      <right style="thin">
        <color rgb="FFD8E0DC"/>
      </right>
      <top/>
      <bottom/>
      <diagonal/>
    </border>
    <border>
      <left/>
      <right style="thin">
        <color rgb="FFD8E0DC"/>
      </right>
      <top/>
      <bottom style="thin">
        <color rgb="FFD8E0DC"/>
      </bottom>
      <diagonal/>
    </border>
    <border>
      <left/>
      <right/>
      <top style="thin">
        <color rgb="FFC9D4CE"/>
      </top>
      <bottom/>
      <diagonal/>
    </border>
    <border>
      <left/>
      <right style="thin">
        <color rgb="FFD8E0DC"/>
      </right>
      <top style="thin">
        <color rgb="FFC9D4CE"/>
      </top>
      <bottom/>
      <diagonal/>
    </border>
    <border>
      <left style="thin">
        <color rgb="FFAFCBBB"/>
      </left>
      <right/>
      <top style="thin">
        <color rgb="FFAFCBBB"/>
      </top>
      <bottom/>
      <diagonal/>
    </border>
    <border>
      <left/>
      <right/>
      <top style="thin">
        <color rgb="FFAFCBBB"/>
      </top>
      <bottom/>
      <diagonal/>
    </border>
    <border>
      <left/>
      <right style="thin">
        <color rgb="FFAFCBBB"/>
      </right>
      <top style="thin">
        <color rgb="FFAFCBBB"/>
      </top>
      <bottom/>
      <diagonal/>
    </border>
    <border>
      <left style="thin">
        <color rgb="FFAFCBBB"/>
      </left>
      <right/>
      <top/>
      <bottom/>
      <diagonal/>
    </border>
    <border>
      <left/>
      <right style="thin">
        <color rgb="FFAFCBBB"/>
      </right>
      <top/>
      <bottom/>
      <diagonal/>
    </border>
    <border>
      <left style="thin">
        <color rgb="FFAFCBBB"/>
      </left>
      <right style="thin">
        <color rgb="FFD8E0DC"/>
      </right>
      <top/>
      <bottom/>
      <diagonal/>
    </border>
    <border>
      <left style="thin">
        <color rgb="FFAFCBBB"/>
      </left>
      <right style="thin">
        <color rgb="FFD8E0DC"/>
      </right>
      <top style="thin">
        <color rgb="FFC9D4CE"/>
      </top>
      <bottom/>
      <diagonal/>
    </border>
    <border>
      <left/>
      <right style="thin">
        <color rgb="FFAFCBBB"/>
      </right>
      <top style="thin">
        <color rgb="FFC9D4CE"/>
      </top>
      <bottom/>
      <diagonal/>
    </border>
    <border>
      <left style="thin">
        <color rgb="FFAFCBBB"/>
      </left>
      <right style="thin">
        <color rgb="FFD8E0DC"/>
      </right>
      <top/>
      <bottom style="thin">
        <color rgb="FFD8E0DC"/>
      </bottom>
      <diagonal/>
    </border>
    <border>
      <left/>
      <right style="thin">
        <color rgb="FFAFCBBB"/>
      </right>
      <top/>
      <bottom style="thin">
        <color rgb="FFD8E0DC"/>
      </bottom>
      <diagonal/>
    </border>
    <border>
      <left style="thin">
        <color rgb="FFAFCBBB"/>
      </left>
      <right/>
      <top/>
      <bottom style="thin">
        <color rgb="FFAFCBBB"/>
      </bottom>
      <diagonal/>
    </border>
    <border>
      <left/>
      <right/>
      <top/>
      <bottom style="thin">
        <color rgb="FFAFCBBB"/>
      </bottom>
      <diagonal/>
    </border>
    <border>
      <left/>
      <right style="thin">
        <color rgb="FFAFCBBB"/>
      </right>
      <top/>
      <bottom style="thin">
        <color rgb="FFAFCBBB"/>
      </bottom>
      <diagonal/>
    </border>
  </borders>
  <cellStyleXfs count="2">
    <xf numFmtId="0" fontId="0" fillId="0" borderId="0"/>
    <xf numFmtId="0" fontId="15" fillId="0" borderId="0" applyNumberFormat="0" applyFill="0" applyBorder="0" applyAlignment="0" applyProtection="0"/>
  </cellStyleXfs>
  <cellXfs count="233">
    <xf numFmtId="0" fontId="0" fillId="0" borderId="0" xfId="0"/>
    <xf numFmtId="0" fontId="0" fillId="2" borderId="0" xfId="0" applyFill="1"/>
    <xf numFmtId="0" fontId="6" fillId="0" borderId="0" xfId="0" applyFont="1" applyAlignment="1">
      <alignment horizontal="left" vertical="center"/>
    </xf>
    <xf numFmtId="0" fontId="2" fillId="0" borderId="0" xfId="0" applyFont="1" applyAlignment="1">
      <alignment horizontal="left" vertical="center"/>
    </xf>
    <xf numFmtId="0" fontId="8" fillId="0" borderId="0" xfId="0" applyFont="1" applyAlignment="1">
      <alignment horizontal="left" vertical="center"/>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10" fillId="3" borderId="0" xfId="0" applyFont="1" applyFill="1" applyAlignment="1">
      <alignment horizontal="left" vertical="center"/>
    </xf>
    <xf numFmtId="0" fontId="11" fillId="3" borderId="0" xfId="0" applyFont="1" applyFill="1" applyAlignment="1">
      <alignment horizontal="left" vertical="center"/>
    </xf>
    <xf numFmtId="0" fontId="12" fillId="4" borderId="0" xfId="0" applyFont="1" applyFill="1" applyAlignment="1">
      <alignment horizontal="center" vertical="center"/>
    </xf>
    <xf numFmtId="0" fontId="1" fillId="0" borderId="0" xfId="0" applyFont="1" applyAlignment="1">
      <alignment horizontal="center" vertical="center"/>
    </xf>
    <xf numFmtId="0" fontId="10" fillId="3" borderId="1" xfId="0" applyFont="1" applyFill="1" applyBorder="1" applyAlignment="1">
      <alignment horizontal="left" vertical="center" wrapText="1"/>
    </xf>
    <xf numFmtId="0" fontId="10" fillId="3" borderId="2" xfId="0" applyFont="1" applyFill="1" applyBorder="1" applyAlignment="1">
      <alignment horizontal="left" vertical="center" wrapText="1"/>
    </xf>
    <xf numFmtId="0" fontId="10" fillId="3" borderId="3" xfId="0" applyFont="1" applyFill="1" applyBorder="1" applyAlignment="1">
      <alignment horizontal="left" vertical="center" wrapText="1"/>
    </xf>
    <xf numFmtId="0" fontId="7" fillId="0" borderId="0" xfId="0" applyFont="1" applyAlignment="1">
      <alignment horizontal="left" vertical="center"/>
    </xf>
    <xf numFmtId="0" fontId="4" fillId="0" borderId="0" xfId="0" applyFont="1" applyAlignment="1">
      <alignment horizontal="left" vertical="center"/>
    </xf>
    <xf numFmtId="0" fontId="3" fillId="3" borderId="0" xfId="0" applyFont="1" applyFill="1" applyAlignment="1">
      <alignment horizontal="center" vertical="center" wrapText="1"/>
    </xf>
    <xf numFmtId="0" fontId="4" fillId="0" borderId="0" xfId="0" applyFont="1" applyAlignment="1">
      <alignment horizontal="center" vertical="center"/>
    </xf>
    <xf numFmtId="168" fontId="4" fillId="0" borderId="0" xfId="0" applyNumberFormat="1" applyFont="1" applyAlignment="1">
      <alignment horizontal="right" vertical="center"/>
    </xf>
    <xf numFmtId="169" fontId="4" fillId="0" borderId="0" xfId="0" applyNumberFormat="1" applyFont="1" applyAlignment="1">
      <alignment horizontal="right" vertical="center"/>
    </xf>
    <xf numFmtId="165" fontId="4" fillId="0" borderId="0" xfId="0" applyNumberFormat="1" applyFont="1" applyAlignment="1">
      <alignment horizontal="right" vertical="center"/>
    </xf>
    <xf numFmtId="3" fontId="13" fillId="0" borderId="0" xfId="0" applyNumberFormat="1" applyFont="1" applyAlignment="1">
      <alignment horizontal="center" vertical="center"/>
    </xf>
    <xf numFmtId="167" fontId="1" fillId="5" borderId="0" xfId="0" applyNumberFormat="1" applyFont="1" applyFill="1" applyAlignment="1">
      <alignment horizontal="right" vertical="center"/>
    </xf>
    <xf numFmtId="0" fontId="4" fillId="0" borderId="0" xfId="0" applyFont="1" applyAlignment="1">
      <alignment horizontal="left" vertical="center" wrapText="1"/>
    </xf>
    <xf numFmtId="1" fontId="4" fillId="0" borderId="0" xfId="0" applyNumberFormat="1" applyFont="1" applyAlignment="1">
      <alignment horizontal="center" vertical="center"/>
    </xf>
    <xf numFmtId="0" fontId="9" fillId="0" borderId="0" xfId="0" applyFont="1" applyAlignment="1">
      <alignment horizontal="left" vertical="center"/>
    </xf>
    <xf numFmtId="0" fontId="7" fillId="0" borderId="10" xfId="0" applyFont="1" applyBorder="1" applyAlignment="1">
      <alignment horizontal="left" vertical="center"/>
    </xf>
    <xf numFmtId="0" fontId="4" fillId="0" borderId="11" xfId="0" applyFont="1" applyBorder="1" applyAlignment="1">
      <alignment horizontal="center" vertical="center"/>
    </xf>
    <xf numFmtId="0" fontId="4" fillId="0" borderId="11" xfId="0" applyFont="1" applyBorder="1" applyAlignment="1">
      <alignment horizontal="left" vertical="center"/>
    </xf>
    <xf numFmtId="168" fontId="4" fillId="0" borderId="11" xfId="0" applyNumberFormat="1" applyFont="1" applyBorder="1" applyAlignment="1">
      <alignment horizontal="right" vertical="center"/>
    </xf>
    <xf numFmtId="169" fontId="4" fillId="0" borderId="11" xfId="0" applyNumberFormat="1" applyFont="1" applyBorder="1" applyAlignment="1">
      <alignment horizontal="right" vertical="center"/>
    </xf>
    <xf numFmtId="165" fontId="4" fillId="0" borderId="11" xfId="0" applyNumberFormat="1" applyFont="1" applyBorder="1" applyAlignment="1">
      <alignment horizontal="right" vertical="center"/>
    </xf>
    <xf numFmtId="3" fontId="13" fillId="0" borderId="11" xfId="0" applyNumberFormat="1" applyFont="1" applyBorder="1" applyAlignment="1">
      <alignment horizontal="center" vertical="center"/>
    </xf>
    <xf numFmtId="167" fontId="1" fillId="5" borderId="11" xfId="0" applyNumberFormat="1" applyFont="1" applyFill="1" applyBorder="1" applyAlignment="1">
      <alignment horizontal="right" vertical="center"/>
    </xf>
    <xf numFmtId="0" fontId="4" fillId="0" borderId="11" xfId="0" applyFont="1" applyBorder="1" applyAlignment="1">
      <alignment horizontal="left" vertical="center" wrapText="1"/>
    </xf>
    <xf numFmtId="1" fontId="4" fillId="0" borderId="11" xfId="0" applyNumberFormat="1" applyFont="1" applyBorder="1" applyAlignment="1">
      <alignment horizontal="center" vertical="center"/>
    </xf>
    <xf numFmtId="0" fontId="9" fillId="0" borderId="11" xfId="0" applyFont="1" applyBorder="1" applyAlignment="1">
      <alignment horizontal="left" vertical="center"/>
    </xf>
    <xf numFmtId="0" fontId="4" fillId="0" borderId="12" xfId="0" applyFont="1" applyBorder="1" applyAlignment="1">
      <alignment horizontal="left" vertical="center" wrapText="1"/>
    </xf>
    <xf numFmtId="0" fontId="4" fillId="0" borderId="5" xfId="0" applyFont="1" applyBorder="1" applyAlignment="1">
      <alignment horizontal="left" vertical="center"/>
    </xf>
    <xf numFmtId="0" fontId="4" fillId="0" borderId="5" xfId="0" applyFont="1" applyBorder="1" applyAlignment="1">
      <alignment horizontal="center" vertical="center"/>
    </xf>
    <xf numFmtId="0" fontId="4" fillId="0" borderId="8" xfId="0" applyFont="1" applyBorder="1" applyAlignment="1">
      <alignment horizontal="left" vertical="center"/>
    </xf>
    <xf numFmtId="0" fontId="4" fillId="0" borderId="8" xfId="0" applyFont="1" applyBorder="1" applyAlignment="1">
      <alignment horizontal="center" vertical="center"/>
    </xf>
    <xf numFmtId="0" fontId="7" fillId="0" borderId="10" xfId="0" applyFont="1" applyBorder="1" applyAlignment="1">
      <alignment horizontal="center" vertical="center"/>
    </xf>
    <xf numFmtId="166" fontId="4" fillId="0" borderId="11" xfId="0" applyNumberFormat="1" applyFont="1" applyBorder="1" applyAlignment="1">
      <alignment horizontal="center" vertical="center"/>
    </xf>
    <xf numFmtId="3" fontId="9" fillId="4" borderId="11" xfId="0" applyNumberFormat="1" applyFont="1" applyFill="1" applyBorder="1" applyAlignment="1">
      <alignment horizontal="right" vertical="center"/>
    </xf>
    <xf numFmtId="167" fontId="4" fillId="0" borderId="11" xfId="0" applyNumberFormat="1" applyFont="1" applyBorder="1" applyAlignment="1">
      <alignment horizontal="right" vertical="center"/>
    </xf>
    <xf numFmtId="3" fontId="4" fillId="0" borderId="11" xfId="0" applyNumberFormat="1" applyFont="1" applyBorder="1" applyAlignment="1">
      <alignment horizontal="right" vertical="center"/>
    </xf>
    <xf numFmtId="4" fontId="1" fillId="0" borderId="11" xfId="0" applyNumberFormat="1" applyFont="1" applyBorder="1" applyAlignment="1">
      <alignment horizontal="right" vertical="center"/>
    </xf>
    <xf numFmtId="0" fontId="4" fillId="0" borderId="12" xfId="0" applyFont="1" applyBorder="1" applyAlignment="1">
      <alignment horizontal="left" vertical="center"/>
    </xf>
    <xf numFmtId="0" fontId="15" fillId="0" borderId="11" xfId="1" applyBorder="1" applyAlignment="1">
      <alignment horizontal="left" vertical="center"/>
    </xf>
    <xf numFmtId="0" fontId="0" fillId="0" borderId="0" xfId="0" pivotButton="1"/>
    <xf numFmtId="4" fontId="0" fillId="0" borderId="0" xfId="0" applyNumberFormat="1"/>
    <xf numFmtId="0" fontId="0" fillId="0" borderId="0" xfId="0" applyAlignment="1">
      <alignment horizontal="left"/>
    </xf>
    <xf numFmtId="3" fontId="0" fillId="0" borderId="0" xfId="0" applyNumberFormat="1"/>
    <xf numFmtId="3" fontId="16" fillId="3" borderId="0" xfId="0" applyNumberFormat="1" applyFont="1" applyFill="1" applyAlignment="1">
      <alignment horizontal="right" vertical="center"/>
    </xf>
    <xf numFmtId="4" fontId="16" fillId="3" borderId="0" xfId="0" applyNumberFormat="1" applyFont="1" applyFill="1" applyAlignment="1">
      <alignment horizontal="right" vertical="center"/>
    </xf>
    <xf numFmtId="0" fontId="17" fillId="0" borderId="12" xfId="0" applyFont="1" applyBorder="1" applyAlignment="1">
      <alignment horizontal="left" vertical="center" wrapText="1"/>
    </xf>
    <xf numFmtId="0" fontId="17" fillId="0" borderId="0" xfId="0" applyFont="1" applyAlignment="1">
      <alignment horizontal="left" vertical="center" wrapText="1"/>
    </xf>
    <xf numFmtId="0" fontId="11" fillId="0" borderId="7" xfId="0" applyFont="1" applyBorder="1" applyAlignment="1">
      <alignment horizontal="left" vertical="center"/>
    </xf>
    <xf numFmtId="0" fontId="11" fillId="0" borderId="8" xfId="0" applyFont="1" applyBorder="1" applyAlignment="1">
      <alignment horizontal="left" vertical="center"/>
    </xf>
    <xf numFmtId="3" fontId="14" fillId="5" borderId="8" xfId="0" applyNumberFormat="1" applyFont="1" applyFill="1" applyBorder="1" applyAlignment="1">
      <alignment horizontal="center" vertical="center"/>
    </xf>
    <xf numFmtId="0" fontId="11" fillId="0" borderId="9" xfId="0" applyFont="1" applyBorder="1" applyAlignment="1">
      <alignment horizontal="left" vertical="center"/>
    </xf>
    <xf numFmtId="0" fontId="11" fillId="0" borderId="10" xfId="0" applyFont="1" applyBorder="1" applyAlignment="1">
      <alignment horizontal="left" vertical="center"/>
    </xf>
    <xf numFmtId="0" fontId="11" fillId="0" borderId="11" xfId="0" applyFont="1" applyBorder="1" applyAlignment="1">
      <alignment horizontal="left" vertical="center"/>
    </xf>
    <xf numFmtId="3" fontId="14" fillId="5" borderId="11" xfId="0" applyNumberFormat="1" applyFont="1" applyFill="1" applyBorder="1" applyAlignment="1">
      <alignment horizontal="center" vertical="center"/>
    </xf>
    <xf numFmtId="0" fontId="11" fillId="0" borderId="12" xfId="0" applyFont="1" applyBorder="1" applyAlignment="1">
      <alignment horizontal="left" vertical="center"/>
    </xf>
    <xf numFmtId="3" fontId="9" fillId="4" borderId="11" xfId="0" applyNumberFormat="1" applyFont="1" applyFill="1" applyBorder="1" applyAlignment="1">
      <alignment horizontal="left"/>
    </xf>
    <xf numFmtId="3" fontId="4" fillId="0" borderId="11" xfId="0" applyNumberFormat="1" applyFont="1" applyBorder="1" applyAlignment="1">
      <alignment horizontal="center" vertical="center"/>
    </xf>
    <xf numFmtId="4" fontId="1" fillId="0" borderId="11" xfId="0" applyNumberFormat="1" applyFont="1" applyBorder="1" applyAlignment="1">
      <alignment horizontal="center" vertical="center"/>
    </xf>
    <xf numFmtId="3" fontId="16" fillId="3" borderId="0" xfId="0" applyNumberFormat="1" applyFont="1" applyFill="1" applyAlignment="1">
      <alignment horizontal="center" vertical="center"/>
    </xf>
    <xf numFmtId="4" fontId="16" fillId="3" borderId="0" xfId="0" applyNumberFormat="1" applyFont="1" applyFill="1" applyAlignment="1">
      <alignment horizontal="center" vertical="center"/>
    </xf>
    <xf numFmtId="0" fontId="19" fillId="3" borderId="0" xfId="0" applyFont="1" applyFill="1" applyAlignment="1">
      <alignment horizontal="left" vertical="center"/>
    </xf>
    <xf numFmtId="0" fontId="0" fillId="0" borderId="0" xfId="0" applyAlignment="1">
      <alignment wrapText="1"/>
    </xf>
    <xf numFmtId="0" fontId="21" fillId="6" borderId="0" xfId="0" applyFont="1" applyFill="1" applyAlignment="1">
      <alignment horizontal="left" vertical="top" wrapText="1"/>
    </xf>
    <xf numFmtId="0" fontId="7" fillId="0" borderId="4" xfId="0" applyFont="1" applyBorder="1" applyAlignment="1">
      <alignment horizontal="left" vertical="center"/>
    </xf>
    <xf numFmtId="168" fontId="4" fillId="0" borderId="5" xfId="0" applyNumberFormat="1" applyFont="1" applyBorder="1" applyAlignment="1">
      <alignment horizontal="right" vertical="center"/>
    </xf>
    <xf numFmtId="169" fontId="4" fillId="0" borderId="5" xfId="0" applyNumberFormat="1" applyFont="1" applyBorder="1" applyAlignment="1">
      <alignment horizontal="right" vertical="center"/>
    </xf>
    <xf numFmtId="165" fontId="4" fillId="0" borderId="5" xfId="0" applyNumberFormat="1" applyFont="1" applyBorder="1" applyAlignment="1">
      <alignment horizontal="right" vertical="center"/>
    </xf>
    <xf numFmtId="3" fontId="13" fillId="0" borderId="5" xfId="0" applyNumberFormat="1" applyFont="1" applyBorder="1" applyAlignment="1">
      <alignment horizontal="center" vertical="center"/>
    </xf>
    <xf numFmtId="167" fontId="1" fillId="5" borderId="5" xfId="0" applyNumberFormat="1" applyFont="1" applyFill="1" applyBorder="1" applyAlignment="1">
      <alignment horizontal="right" vertical="center"/>
    </xf>
    <xf numFmtId="0" fontId="4" fillId="0" borderId="5" xfId="0" applyFont="1" applyBorder="1" applyAlignment="1">
      <alignment horizontal="left" vertical="center" wrapText="1"/>
    </xf>
    <xf numFmtId="1" fontId="4" fillId="0" borderId="5" xfId="0" applyNumberFormat="1" applyFont="1" applyBorder="1" applyAlignment="1">
      <alignment horizontal="center" vertical="center"/>
    </xf>
    <xf numFmtId="0" fontId="9" fillId="0" borderId="5" xfId="0" applyFont="1" applyBorder="1" applyAlignment="1">
      <alignment horizontal="left" vertical="center"/>
    </xf>
    <xf numFmtId="0" fontId="17" fillId="0" borderId="6" xfId="0" applyFont="1" applyBorder="1" applyAlignment="1">
      <alignment horizontal="left" vertical="center" wrapText="1"/>
    </xf>
    <xf numFmtId="0" fontId="7" fillId="0" borderId="7" xfId="0" applyFont="1" applyBorder="1" applyAlignment="1">
      <alignment horizontal="left" vertical="center"/>
    </xf>
    <xf numFmtId="168" fontId="4" fillId="0" borderId="8" xfId="0" applyNumberFormat="1" applyFont="1" applyBorder="1" applyAlignment="1">
      <alignment horizontal="right" vertical="center"/>
    </xf>
    <xf numFmtId="169" fontId="4" fillId="0" borderId="8" xfId="0" applyNumberFormat="1" applyFont="1" applyBorder="1" applyAlignment="1">
      <alignment horizontal="right" vertical="center"/>
    </xf>
    <xf numFmtId="165" fontId="4" fillId="0" borderId="8" xfId="0" applyNumberFormat="1" applyFont="1" applyBorder="1" applyAlignment="1">
      <alignment horizontal="right" vertical="center"/>
    </xf>
    <xf numFmtId="3" fontId="13" fillId="0" borderId="8" xfId="0" applyNumberFormat="1" applyFont="1" applyBorder="1" applyAlignment="1">
      <alignment horizontal="center" vertical="center"/>
    </xf>
    <xf numFmtId="167" fontId="1" fillId="5" borderId="8" xfId="0" applyNumberFormat="1" applyFont="1" applyFill="1" applyBorder="1" applyAlignment="1">
      <alignment horizontal="right" vertical="center"/>
    </xf>
    <xf numFmtId="0" fontId="4" fillId="0" borderId="8" xfId="0" applyFont="1" applyBorder="1" applyAlignment="1">
      <alignment horizontal="left" vertical="center" wrapText="1"/>
    </xf>
    <xf numFmtId="1" fontId="4" fillId="0" borderId="8" xfId="0" applyNumberFormat="1" applyFont="1" applyBorder="1" applyAlignment="1">
      <alignment horizontal="center" vertical="center"/>
    </xf>
    <xf numFmtId="0" fontId="9" fillId="0" borderId="8" xfId="0" applyFont="1" applyBorder="1" applyAlignment="1">
      <alignment horizontal="left" vertical="center"/>
    </xf>
    <xf numFmtId="0" fontId="17" fillId="0" borderId="9" xfId="0" applyFont="1" applyBorder="1" applyAlignment="1">
      <alignment horizontal="left" vertical="center" wrapText="1"/>
    </xf>
    <xf numFmtId="0" fontId="27" fillId="11" borderId="22" xfId="0" applyFont="1" applyFill="1" applyBorder="1" applyAlignment="1">
      <alignment horizontal="left" vertical="center" wrapText="1"/>
    </xf>
    <xf numFmtId="0" fontId="0" fillId="9" borderId="0" xfId="0" applyFill="1"/>
    <xf numFmtId="0" fontId="4" fillId="0" borderId="0" xfId="0" applyFont="1" applyAlignment="1">
      <alignment horizontal="left" vertical="top" wrapText="1" indent="1"/>
    </xf>
    <xf numFmtId="0" fontId="5" fillId="0" borderId="0" xfId="0" applyFont="1" applyAlignment="1">
      <alignment horizontal="left" vertical="center" indent="1"/>
    </xf>
    <xf numFmtId="0" fontId="3" fillId="0" borderId="0" xfId="0" applyFont="1" applyAlignment="1">
      <alignment horizontal="left" vertical="center" indent="1"/>
    </xf>
    <xf numFmtId="0" fontId="5" fillId="9" borderId="0" xfId="0" applyFont="1" applyFill="1" applyAlignment="1">
      <alignment horizontal="left" vertical="center" indent="1"/>
    </xf>
    <xf numFmtId="0" fontId="3" fillId="9" borderId="0" xfId="0" applyFont="1" applyFill="1" applyAlignment="1">
      <alignment horizontal="left" vertical="center" indent="1"/>
    </xf>
    <xf numFmtId="0" fontId="4" fillId="9" borderId="0" xfId="0" applyFont="1" applyFill="1" applyAlignment="1">
      <alignment horizontal="left" vertical="top" wrapText="1" indent="1"/>
    </xf>
    <xf numFmtId="0" fontId="0" fillId="12" borderId="0" xfId="0" applyFill="1"/>
    <xf numFmtId="0" fontId="0" fillId="13" borderId="0" xfId="0" applyFill="1"/>
    <xf numFmtId="0" fontId="4" fillId="13" borderId="0" xfId="0" applyFont="1" applyFill="1" applyAlignment="1">
      <alignment horizontal="left" vertical="top" wrapText="1" indent="1"/>
    </xf>
    <xf numFmtId="0" fontId="5" fillId="13" borderId="0" xfId="0" applyFont="1" applyFill="1" applyAlignment="1">
      <alignment horizontal="left" vertical="center" indent="1"/>
    </xf>
    <xf numFmtId="0" fontId="30" fillId="2" borderId="0" xfId="0" applyFont="1" applyFill="1"/>
    <xf numFmtId="0" fontId="30" fillId="9" borderId="0" xfId="0" applyFont="1" applyFill="1"/>
    <xf numFmtId="0" fontId="36" fillId="9" borderId="0" xfId="0" applyFont="1" applyFill="1"/>
    <xf numFmtId="0" fontId="39" fillId="9" borderId="0" xfId="0" applyFont="1" applyFill="1" applyAlignment="1">
      <alignment horizontal="left" vertical="center" indent="1"/>
    </xf>
    <xf numFmtId="0" fontId="30" fillId="17" borderId="0" xfId="0" applyFont="1" applyFill="1"/>
    <xf numFmtId="0" fontId="40" fillId="2" borderId="0" xfId="0" applyFont="1" applyFill="1" applyAlignment="1">
      <alignment vertical="center"/>
    </xf>
    <xf numFmtId="0" fontId="41" fillId="12" borderId="0" xfId="0" applyFont="1" applyFill="1"/>
    <xf numFmtId="0" fontId="2" fillId="0" borderId="0" xfId="0" applyFont="1" applyAlignment="1">
      <alignment horizontal="left" vertical="center" wrapText="1"/>
    </xf>
    <xf numFmtId="0" fontId="18" fillId="0" borderId="0" xfId="0" applyFont="1" applyAlignment="1">
      <alignment horizontal="left" vertical="center" wrapText="1"/>
    </xf>
    <xf numFmtId="0" fontId="22" fillId="6" borderId="0" xfId="0" applyFont="1" applyFill="1" applyAlignment="1">
      <alignment horizontal="left" vertical="center" wrapText="1"/>
    </xf>
    <xf numFmtId="0" fontId="18" fillId="6" borderId="0" xfId="0" applyFont="1" applyFill="1" applyAlignment="1">
      <alignment horizontal="left" vertical="center" wrapText="1"/>
    </xf>
    <xf numFmtId="0" fontId="21" fillId="6" borderId="13" xfId="0" applyFont="1" applyFill="1" applyBorder="1" applyAlignment="1">
      <alignment horizontal="left" vertical="center"/>
    </xf>
    <xf numFmtId="0" fontId="19" fillId="7" borderId="0" xfId="0" applyFont="1" applyFill="1" applyAlignment="1">
      <alignment horizontal="left"/>
    </xf>
    <xf numFmtId="0" fontId="21" fillId="9" borderId="0" xfId="0" applyFont="1" applyFill="1" applyAlignment="1">
      <alignment horizontal="left"/>
    </xf>
    <xf numFmtId="0" fontId="21" fillId="10" borderId="0" xfId="0" applyFont="1" applyFill="1" applyAlignment="1">
      <alignment horizontal="left" vertical="center" wrapText="1"/>
    </xf>
    <xf numFmtId="0" fontId="21" fillId="10" borderId="19" xfId="0" applyFont="1" applyFill="1" applyBorder="1" applyAlignment="1">
      <alignment horizontal="left" vertical="top" wrapText="1"/>
    </xf>
    <xf numFmtId="0" fontId="21" fillId="10" borderId="0" xfId="0" applyFont="1" applyFill="1" applyAlignment="1">
      <alignment horizontal="left" vertical="top" wrapText="1"/>
    </xf>
    <xf numFmtId="0" fontId="21" fillId="9" borderId="18" xfId="0" applyFont="1" applyFill="1" applyBorder="1" applyAlignment="1">
      <alignment horizontal="left" vertical="top" wrapText="1"/>
    </xf>
    <xf numFmtId="0" fontId="21" fillId="9" borderId="0" xfId="0" applyFont="1" applyFill="1" applyAlignment="1">
      <alignment horizontal="left" vertical="top" wrapText="1"/>
    </xf>
    <xf numFmtId="0" fontId="19" fillId="7" borderId="14" xfId="0" applyFont="1" applyFill="1" applyBorder="1" applyAlignment="1">
      <alignment horizontal="left" vertical="center" wrapText="1"/>
    </xf>
    <xf numFmtId="0" fontId="19" fillId="7" borderId="0" xfId="0" applyFont="1" applyFill="1" applyAlignment="1">
      <alignment horizontal="left" vertical="center" wrapText="1"/>
    </xf>
    <xf numFmtId="0" fontId="21" fillId="6" borderId="0" xfId="0" applyFont="1" applyFill="1" applyAlignment="1">
      <alignment horizontal="left" vertical="top" wrapText="1"/>
    </xf>
    <xf numFmtId="0" fontId="20" fillId="9" borderId="0" xfId="0" applyFont="1" applyFill="1" applyAlignment="1">
      <alignment horizontal="left" vertical="center" wrapText="1"/>
    </xf>
    <xf numFmtId="0" fontId="24" fillId="9" borderId="0" xfId="0" applyFont="1" applyFill="1" applyAlignment="1">
      <alignment horizontal="left" vertical="center" wrapText="1"/>
    </xf>
    <xf numFmtId="0" fontId="20" fillId="9" borderId="21" xfId="0" applyFont="1" applyFill="1" applyBorder="1" applyAlignment="1">
      <alignment horizontal="left" vertical="center" wrapText="1"/>
    </xf>
    <xf numFmtId="0" fontId="24" fillId="9" borderId="21" xfId="0" applyFont="1" applyFill="1" applyBorder="1" applyAlignment="1">
      <alignment horizontal="left" vertical="center" wrapText="1"/>
    </xf>
    <xf numFmtId="0" fontId="21" fillId="9" borderId="20" xfId="0" applyFont="1" applyFill="1" applyBorder="1" applyAlignment="1">
      <alignment horizontal="left" vertical="top" wrapText="1"/>
    </xf>
    <xf numFmtId="0" fontId="15" fillId="9" borderId="0" xfId="1" applyNumberFormat="1" applyFill="1" applyAlignment="1">
      <alignment horizontal="left"/>
    </xf>
    <xf numFmtId="0" fontId="24" fillId="9" borderId="0" xfId="0" applyFont="1" applyFill="1" applyAlignment="1">
      <alignment horizontal="left"/>
    </xf>
    <xf numFmtId="0" fontId="23" fillId="8" borderId="16" xfId="0" applyFont="1" applyFill="1" applyBorder="1" applyAlignment="1">
      <alignment horizontal="center" vertical="center" wrapText="1"/>
    </xf>
    <xf numFmtId="0" fontId="23" fillId="8" borderId="15" xfId="0" applyFont="1" applyFill="1" applyBorder="1" applyAlignment="1">
      <alignment horizontal="center" vertical="center" wrapText="1"/>
    </xf>
    <xf numFmtId="0" fontId="23" fillId="8" borderId="17" xfId="0" applyFont="1" applyFill="1" applyBorder="1" applyAlignment="1">
      <alignment horizontal="center" vertical="center" wrapText="1"/>
    </xf>
    <xf numFmtId="0" fontId="44" fillId="0" borderId="0" xfId="0" applyFont="1" applyAlignment="1">
      <alignment horizontal="left" vertical="center"/>
    </xf>
    <xf numFmtId="0" fontId="45" fillId="0" borderId="0" xfId="0" applyFont="1"/>
    <xf numFmtId="3" fontId="45" fillId="0" borderId="0" xfId="0" applyNumberFormat="1" applyFont="1"/>
    <xf numFmtId="170" fontId="45" fillId="0" borderId="0" xfId="0" applyNumberFormat="1" applyFont="1"/>
    <xf numFmtId="0" fontId="44" fillId="0" borderId="0" xfId="0" applyFont="1"/>
    <xf numFmtId="170" fontId="47" fillId="0" borderId="0" xfId="0" applyNumberFormat="1" applyFont="1" applyAlignment="1">
      <alignment horizontal="right"/>
    </xf>
    <xf numFmtId="0" fontId="46" fillId="0" borderId="0" xfId="0" applyFont="1"/>
    <xf numFmtId="165" fontId="46" fillId="0" borderId="0" xfId="0" applyNumberFormat="1" applyFont="1" applyAlignment="1">
      <alignment horizontal="right"/>
    </xf>
    <xf numFmtId="0" fontId="49" fillId="0" borderId="0" xfId="0" applyFont="1"/>
    <xf numFmtId="0" fontId="46" fillId="0" borderId="0" xfId="0" applyFont="1" applyAlignment="1">
      <alignment horizontal="left" vertical="center"/>
    </xf>
    <xf numFmtId="0" fontId="47" fillId="0" borderId="0" xfId="0" applyFont="1" applyAlignment="1">
      <alignment horizontal="left" vertical="center"/>
    </xf>
    <xf numFmtId="0" fontId="47" fillId="0" borderId="0" xfId="0" applyFont="1" applyAlignment="1">
      <alignment horizontal="right" vertical="center"/>
    </xf>
    <xf numFmtId="3" fontId="45" fillId="0" borderId="0" xfId="0" applyNumberFormat="1" applyFont="1" applyAlignment="1">
      <alignment horizontal="right" vertical="center"/>
    </xf>
    <xf numFmtId="3" fontId="46" fillId="0" borderId="0" xfId="0" applyNumberFormat="1" applyFont="1" applyAlignment="1">
      <alignment horizontal="right" vertical="center"/>
    </xf>
    <xf numFmtId="4" fontId="47" fillId="0" borderId="0" xfId="0" applyNumberFormat="1" applyFont="1" applyAlignment="1">
      <alignment horizontal="right" vertical="center"/>
    </xf>
    <xf numFmtId="3" fontId="47" fillId="0" borderId="0" xfId="0" applyNumberFormat="1" applyFont="1" applyAlignment="1">
      <alignment horizontal="right" vertical="center"/>
    </xf>
    <xf numFmtId="3" fontId="50" fillId="0" borderId="0" xfId="0" applyNumberFormat="1" applyFont="1" applyAlignment="1">
      <alignment horizontal="right" vertical="center"/>
    </xf>
    <xf numFmtId="164" fontId="47" fillId="0" borderId="0" xfId="0" applyNumberFormat="1" applyFont="1" applyAlignment="1">
      <alignment horizontal="right" vertical="center"/>
    </xf>
    <xf numFmtId="164" fontId="50" fillId="0" borderId="0" xfId="0" applyNumberFormat="1" applyFont="1" applyAlignment="1">
      <alignment horizontal="right" vertical="center"/>
    </xf>
    <xf numFmtId="165" fontId="47" fillId="0" borderId="0" xfId="0" applyNumberFormat="1" applyFont="1" applyAlignment="1">
      <alignment horizontal="right" vertical="center"/>
    </xf>
    <xf numFmtId="0" fontId="48" fillId="0" borderId="0" xfId="0" applyFont="1" applyAlignment="1">
      <alignment horizontal="left" vertical="center"/>
    </xf>
    <xf numFmtId="0" fontId="51" fillId="0" borderId="0" xfId="0" applyFont="1" applyAlignment="1">
      <alignment horizontal="left" vertical="center"/>
    </xf>
    <xf numFmtId="0" fontId="52" fillId="0" borderId="0" xfId="0" applyFont="1" applyAlignment="1">
      <alignment horizontal="left" vertical="center"/>
    </xf>
    <xf numFmtId="0" fontId="17" fillId="0" borderId="0" xfId="0" applyFont="1" applyAlignment="1">
      <alignment horizontal="left" vertical="center"/>
    </xf>
    <xf numFmtId="3" fontId="17" fillId="0" borderId="0" xfId="0" applyNumberFormat="1" applyFont="1" applyAlignment="1">
      <alignment horizontal="right" vertical="center"/>
    </xf>
    <xf numFmtId="164" fontId="17" fillId="0" borderId="0" xfId="0" applyNumberFormat="1" applyFont="1" applyAlignment="1">
      <alignment horizontal="right" vertical="center"/>
    </xf>
    <xf numFmtId="0" fontId="50" fillId="0" borderId="0" xfId="0" applyFont="1" applyAlignment="1">
      <alignment horizontal="left" vertical="center"/>
    </xf>
    <xf numFmtId="0" fontId="53" fillId="0" borderId="0" xfId="0" applyFont="1"/>
    <xf numFmtId="0" fontId="17" fillId="0" borderId="0" xfId="0" applyFont="1"/>
    <xf numFmtId="3" fontId="17" fillId="0" borderId="0" xfId="0" applyNumberFormat="1" applyFont="1" applyAlignment="1">
      <alignment horizontal="right"/>
    </xf>
    <xf numFmtId="3" fontId="50" fillId="0" borderId="0" xfId="0" applyNumberFormat="1" applyFont="1" applyAlignment="1">
      <alignment horizontal="right"/>
    </xf>
    <xf numFmtId="3" fontId="49" fillId="0" borderId="0" xfId="0" applyNumberFormat="1" applyFont="1" applyAlignment="1">
      <alignment horizontal="right" vertical="center"/>
    </xf>
    <xf numFmtId="164" fontId="49" fillId="0" borderId="0" xfId="0" applyNumberFormat="1" applyFont="1" applyAlignment="1">
      <alignment horizontal="right" vertical="center"/>
    </xf>
    <xf numFmtId="0" fontId="49" fillId="0" borderId="0" xfId="0" applyFont="1" applyAlignment="1">
      <alignment horizontal="right" vertical="center"/>
    </xf>
    <xf numFmtId="4" fontId="49" fillId="0" borderId="0" xfId="0" applyNumberFormat="1" applyFont="1" applyAlignment="1">
      <alignment horizontal="right" vertical="center"/>
    </xf>
    <xf numFmtId="0" fontId="54" fillId="0" borderId="0" xfId="0" applyFont="1" applyAlignment="1">
      <alignment horizontal="left" vertical="center"/>
    </xf>
    <xf numFmtId="165" fontId="55" fillId="0" borderId="0" xfId="0" applyNumberFormat="1" applyFont="1" applyAlignment="1">
      <alignment horizontal="right" vertical="center"/>
    </xf>
    <xf numFmtId="0" fontId="49" fillId="0" borderId="0" xfId="0" applyFont="1" applyAlignment="1">
      <alignment horizontal="right"/>
    </xf>
    <xf numFmtId="1" fontId="49" fillId="0" borderId="0" xfId="0" applyNumberFormat="1" applyFont="1" applyAlignment="1">
      <alignment horizontal="right"/>
    </xf>
    <xf numFmtId="0" fontId="37" fillId="9" borderId="0" xfId="0" applyFont="1" applyFill="1" applyAlignment="1">
      <alignment vertical="center"/>
    </xf>
    <xf numFmtId="3" fontId="38" fillId="9" borderId="0" xfId="0" applyNumberFormat="1" applyFont="1" applyFill="1" applyAlignment="1">
      <alignment vertical="center"/>
    </xf>
    <xf numFmtId="3" fontId="37" fillId="9" borderId="0" xfId="0" applyNumberFormat="1" applyFont="1" applyFill="1" applyAlignment="1">
      <alignment vertical="center"/>
    </xf>
    <xf numFmtId="0" fontId="36" fillId="9" borderId="0" xfId="0" applyFont="1" applyFill="1" applyAlignment="1">
      <alignment vertical="center"/>
    </xf>
    <xf numFmtId="0" fontId="30" fillId="18" borderId="0" xfId="0" applyFont="1" applyFill="1"/>
    <xf numFmtId="0" fontId="0" fillId="18" borderId="0" xfId="0" applyFill="1"/>
    <xf numFmtId="0" fontId="31" fillId="18" borderId="0" xfId="0" applyFont="1" applyFill="1" applyAlignment="1">
      <alignment horizontal="left" vertical="center"/>
    </xf>
    <xf numFmtId="0" fontId="32" fillId="18" borderId="0" xfId="0" applyFont="1" applyFill="1" applyAlignment="1">
      <alignment horizontal="right" vertical="center"/>
    </xf>
    <xf numFmtId="0" fontId="42" fillId="18" borderId="0" xfId="0" applyFont="1" applyFill="1" applyAlignment="1">
      <alignment horizontal="left" vertical="center"/>
    </xf>
    <xf numFmtId="0" fontId="33" fillId="18" borderId="0" xfId="0" applyFont="1" applyFill="1" applyAlignment="1">
      <alignment horizontal="left" vertical="center"/>
    </xf>
    <xf numFmtId="0" fontId="34" fillId="18" borderId="0" xfId="0" applyFont="1" applyFill="1" applyAlignment="1">
      <alignment horizontal="right" vertical="center"/>
    </xf>
    <xf numFmtId="0" fontId="43" fillId="18" borderId="0" xfId="0" applyFont="1" applyFill="1" applyAlignment="1">
      <alignment horizontal="left" vertical="center"/>
    </xf>
    <xf numFmtId="0" fontId="35" fillId="18" borderId="0" xfId="0" applyFont="1" applyFill="1" applyAlignment="1">
      <alignment horizontal="left" vertical="center"/>
    </xf>
    <xf numFmtId="0" fontId="56" fillId="18" borderId="0" xfId="0" applyFont="1" applyFill="1" applyAlignment="1">
      <alignment horizontal="right" vertical="center"/>
    </xf>
    <xf numFmtId="0" fontId="51" fillId="0" borderId="0" xfId="0" applyFont="1"/>
    <xf numFmtId="165" fontId="49" fillId="0" borderId="0" xfId="0" applyNumberFormat="1" applyFont="1" applyAlignment="1">
      <alignment horizontal="right"/>
    </xf>
    <xf numFmtId="9" fontId="49" fillId="0" borderId="0" xfId="0" applyNumberFormat="1" applyFont="1" applyAlignment="1">
      <alignment horizontal="right"/>
    </xf>
    <xf numFmtId="0" fontId="58" fillId="2" borderId="0" xfId="0" applyFont="1" applyFill="1" applyAlignment="1">
      <alignment horizontal="right"/>
    </xf>
    <xf numFmtId="0" fontId="57" fillId="14" borderId="0" xfId="0" applyFont="1" applyFill="1" applyBorder="1" applyAlignment="1">
      <alignment horizontal="center" vertical="center" wrapText="1"/>
    </xf>
    <xf numFmtId="0" fontId="63" fillId="16" borderId="0" xfId="0" applyFont="1" applyFill="1" applyBorder="1" applyAlignment="1">
      <alignment horizontal="center" vertical="center" wrapText="1"/>
    </xf>
    <xf numFmtId="0" fontId="59" fillId="20" borderId="0" xfId="0" applyFont="1" applyFill="1" applyBorder="1" applyAlignment="1">
      <alignment horizontal="center" vertical="center" wrapText="1"/>
    </xf>
    <xf numFmtId="0" fontId="57" fillId="14" borderId="28" xfId="0" applyFont="1" applyFill="1" applyBorder="1" applyAlignment="1">
      <alignment horizontal="center" vertical="center" wrapText="1"/>
    </xf>
    <xf numFmtId="0" fontId="57" fillId="14" borderId="29" xfId="0" applyFont="1" applyFill="1" applyBorder="1" applyAlignment="1">
      <alignment horizontal="center" vertical="center" wrapText="1"/>
    </xf>
    <xf numFmtId="0" fontId="57" fillId="14" borderId="30" xfId="0" applyFont="1" applyFill="1" applyBorder="1" applyAlignment="1">
      <alignment horizontal="center" vertical="center" wrapText="1"/>
    </xf>
    <xf numFmtId="0" fontId="57" fillId="14" borderId="31" xfId="0" applyFont="1" applyFill="1" applyBorder="1" applyAlignment="1">
      <alignment horizontal="center" vertical="center" wrapText="1"/>
    </xf>
    <xf numFmtId="0" fontId="57" fillId="14" borderId="32" xfId="0" applyFont="1" applyFill="1" applyBorder="1" applyAlignment="1">
      <alignment horizontal="center" vertical="center" wrapText="1"/>
    </xf>
    <xf numFmtId="0" fontId="59" fillId="20" borderId="31" xfId="0" applyFont="1" applyFill="1" applyBorder="1" applyAlignment="1">
      <alignment horizontal="center" vertical="center" wrapText="1"/>
    </xf>
    <xf numFmtId="0" fontId="59" fillId="20" borderId="32" xfId="0" applyFont="1" applyFill="1" applyBorder="1" applyAlignment="1">
      <alignment horizontal="center" vertical="center" wrapText="1"/>
    </xf>
    <xf numFmtId="0" fontId="63" fillId="16" borderId="31" xfId="0" applyFont="1" applyFill="1" applyBorder="1" applyAlignment="1">
      <alignment horizontal="center" vertical="center" wrapText="1"/>
    </xf>
    <xf numFmtId="0" fontId="63" fillId="16" borderId="32" xfId="0" applyFont="1" applyFill="1" applyBorder="1" applyAlignment="1">
      <alignment horizontal="center" vertical="center" wrapText="1"/>
    </xf>
    <xf numFmtId="0" fontId="63" fillId="16" borderId="38" xfId="0" applyFont="1" applyFill="1" applyBorder="1" applyAlignment="1">
      <alignment horizontal="center" vertical="center" wrapText="1"/>
    </xf>
    <xf numFmtId="0" fontId="63" fillId="16" borderId="39" xfId="0" applyFont="1" applyFill="1" applyBorder="1" applyAlignment="1">
      <alignment horizontal="center" vertical="center" wrapText="1"/>
    </xf>
    <xf numFmtId="0" fontId="63" fillId="16" borderId="40" xfId="0" applyFont="1" applyFill="1" applyBorder="1" applyAlignment="1">
      <alignment horizontal="center" vertical="center" wrapText="1"/>
    </xf>
    <xf numFmtId="0" fontId="60" fillId="15" borderId="33" xfId="0" applyFont="1" applyFill="1" applyBorder="1" applyAlignment="1">
      <alignment horizontal="center" vertical="center" wrapText="1"/>
    </xf>
    <xf numFmtId="0" fontId="60" fillId="15" borderId="0" xfId="0" applyFont="1" applyFill="1" applyBorder="1" applyAlignment="1">
      <alignment horizontal="center" vertical="center" wrapText="1"/>
    </xf>
    <xf numFmtId="0" fontId="60" fillId="15" borderId="24" xfId="0" applyFont="1" applyFill="1" applyBorder="1" applyAlignment="1">
      <alignment horizontal="center" vertical="center" wrapText="1"/>
    </xf>
    <xf numFmtId="0" fontId="61" fillId="6" borderId="0" xfId="0" applyFont="1" applyFill="1" applyBorder="1" applyAlignment="1">
      <alignment horizontal="center" vertical="center" wrapText="1"/>
    </xf>
    <xf numFmtId="0" fontId="61" fillId="6" borderId="24" xfId="0" applyFont="1" applyFill="1" applyBorder="1" applyAlignment="1">
      <alignment horizontal="center" vertical="center" wrapText="1"/>
    </xf>
    <xf numFmtId="0" fontId="62" fillId="19" borderId="0" xfId="0" applyFont="1" applyFill="1" applyBorder="1" applyAlignment="1">
      <alignment horizontal="center" vertical="center" wrapText="1"/>
    </xf>
    <xf numFmtId="0" fontId="62" fillId="19" borderId="32" xfId="0" applyFont="1" applyFill="1" applyBorder="1" applyAlignment="1">
      <alignment horizontal="center" vertical="center" wrapText="1"/>
    </xf>
    <xf numFmtId="0" fontId="60" fillId="15" borderId="34" xfId="0" applyFont="1" applyFill="1" applyBorder="1" applyAlignment="1">
      <alignment horizontal="center" vertical="center" wrapText="1"/>
    </xf>
    <xf numFmtId="0" fontId="60" fillId="15" borderId="26" xfId="0" applyFont="1" applyFill="1" applyBorder="1" applyAlignment="1">
      <alignment horizontal="center" vertical="center" wrapText="1"/>
    </xf>
    <xf numFmtId="0" fontId="60" fillId="15" borderId="27" xfId="0" applyFont="1" applyFill="1" applyBorder="1" applyAlignment="1">
      <alignment horizontal="center" vertical="center" wrapText="1"/>
    </xf>
    <xf numFmtId="0" fontId="61" fillId="6" borderId="26" xfId="0" applyFont="1" applyFill="1" applyBorder="1" applyAlignment="1">
      <alignment horizontal="center" vertical="center" wrapText="1"/>
    </xf>
    <xf numFmtId="0" fontId="61" fillId="6" borderId="27" xfId="0" applyFont="1" applyFill="1" applyBorder="1" applyAlignment="1">
      <alignment horizontal="center" vertical="center" wrapText="1"/>
    </xf>
    <xf numFmtId="0" fontId="62" fillId="19" borderId="26" xfId="0" applyFont="1" applyFill="1" applyBorder="1" applyAlignment="1">
      <alignment horizontal="center" vertical="center" wrapText="1"/>
    </xf>
    <xf numFmtId="0" fontId="62" fillId="19" borderId="35" xfId="0" applyFont="1" applyFill="1" applyBorder="1" applyAlignment="1">
      <alignment horizontal="center" vertical="center" wrapText="1"/>
    </xf>
    <xf numFmtId="0" fontId="60" fillId="15" borderId="36" xfId="0" applyFont="1" applyFill="1" applyBorder="1" applyAlignment="1">
      <alignment horizontal="center" vertical="center" wrapText="1"/>
    </xf>
    <xf numFmtId="0" fontId="60" fillId="15" borderId="23" xfId="0" applyFont="1" applyFill="1" applyBorder="1" applyAlignment="1">
      <alignment horizontal="center" vertical="center" wrapText="1"/>
    </xf>
    <xf numFmtId="0" fontId="60" fillId="15" borderId="25" xfId="0" applyFont="1" applyFill="1" applyBorder="1" applyAlignment="1">
      <alignment horizontal="center" vertical="center" wrapText="1"/>
    </xf>
    <xf numFmtId="0" fontId="61" fillId="6" borderId="23" xfId="0" applyFont="1" applyFill="1" applyBorder="1" applyAlignment="1">
      <alignment horizontal="center" vertical="center" wrapText="1"/>
    </xf>
    <xf numFmtId="0" fontId="61" fillId="6" borderId="25" xfId="0" applyFont="1" applyFill="1" applyBorder="1" applyAlignment="1">
      <alignment horizontal="center" vertical="center" wrapText="1"/>
    </xf>
    <xf numFmtId="0" fontId="62" fillId="19" borderId="23" xfId="0" applyFont="1" applyFill="1" applyBorder="1" applyAlignment="1">
      <alignment horizontal="center" vertical="center" wrapText="1"/>
    </xf>
    <xf numFmtId="0" fontId="62" fillId="19" borderId="37" xfId="0" applyFont="1" applyFill="1" applyBorder="1" applyAlignment="1">
      <alignment horizontal="center" vertical="center" wrapText="1"/>
    </xf>
    <xf numFmtId="0" fontId="21" fillId="9" borderId="0" xfId="0" applyFont="1" applyFill="1" applyAlignment="1">
      <alignment horizontal="left" wrapText="1"/>
    </xf>
  </cellXfs>
  <cellStyles count="2">
    <cellStyle name="Hyperlink" xfId="1" builtinId="8"/>
    <cellStyle name="Normal" xfId="0" builtinId="0"/>
  </cellStyles>
  <dxfs count="56">
    <dxf>
      <font>
        <color rgb="FF1B4332"/>
      </font>
      <fill>
        <patternFill patternType="solid">
          <fgColor indexed="64"/>
          <bgColor rgb="FFE8F3EC"/>
        </patternFill>
      </fill>
    </dxf>
    <dxf>
      <font>
        <color rgb="FFB42318"/>
      </font>
      <fill>
        <patternFill patternType="solid">
          <fgColor indexed="64"/>
          <bgColor rgb="FFFDE8E7"/>
        </patternFill>
      </fill>
    </dxf>
    <dxf>
      <font>
        <color rgb="FF176B3A"/>
      </font>
      <fill>
        <patternFill patternType="solid">
          <fgColor indexed="64"/>
          <bgColor rgb="FFE4F3EA"/>
        </patternFill>
      </fill>
    </dxf>
    <dxf>
      <font>
        <color rgb="FF7A5A00"/>
      </font>
      <fill>
        <patternFill patternType="solid">
          <fgColor indexed="64"/>
          <bgColor rgb="FFFFF4D6"/>
        </patternFill>
      </fill>
    </dxf>
    <dxf>
      <font>
        <color rgb="FFB42318"/>
      </font>
      <fill>
        <patternFill patternType="solid">
          <fgColor indexed="64"/>
          <bgColor rgb="FFFDE8E7"/>
        </patternFill>
      </fill>
    </dxf>
    <dxf>
      <font>
        <color rgb="FF176B3A"/>
      </font>
      <fill>
        <patternFill patternType="solid">
          <fgColor indexed="64"/>
          <bgColor rgb="FFE4F3EA"/>
        </patternFill>
      </fill>
    </dxf>
    <dxf>
      <font>
        <color rgb="FF7A5A00"/>
      </font>
      <fill>
        <patternFill patternType="solid">
          <fgColor indexed="64"/>
          <bgColor rgb="FFFFF4D6"/>
        </patternFill>
      </fill>
    </dxf>
    <dxf>
      <font>
        <color rgb="FFB42318"/>
      </font>
      <fill>
        <patternFill patternType="solid">
          <fgColor indexed="64"/>
          <bgColor rgb="FFFDE8E7"/>
        </patternFill>
      </fill>
    </dxf>
    <dxf>
      <font>
        <color rgb="FF176B3A"/>
      </font>
      <fill>
        <patternFill patternType="solid">
          <fgColor indexed="64"/>
          <bgColor rgb="FFE4F3EA"/>
        </patternFill>
      </fill>
    </dxf>
    <dxf>
      <font>
        <color rgb="FF7A5A00"/>
      </font>
      <fill>
        <patternFill patternType="solid">
          <fgColor indexed="64"/>
          <bgColor rgb="FFFFF4D6"/>
        </patternFill>
      </fill>
    </dxf>
    <dxf>
      <font>
        <color rgb="FFB42318"/>
      </font>
      <fill>
        <patternFill patternType="solid">
          <fgColor indexed="64"/>
          <bgColor rgb="FFFDE8E7"/>
        </patternFill>
      </fill>
    </dxf>
    <dxf>
      <font>
        <color rgb="FF176B3A"/>
      </font>
      <fill>
        <patternFill patternType="solid">
          <fgColor indexed="64"/>
          <bgColor rgb="FFE4F3EA"/>
        </patternFill>
      </fill>
    </dxf>
    <dxf>
      <font>
        <color rgb="FF7A5A00"/>
      </font>
      <fill>
        <patternFill patternType="solid">
          <fgColor indexed="64"/>
          <bgColor rgb="FFFFF4D6"/>
        </patternFill>
      </fill>
    </dxf>
    <dxf>
      <font>
        <color rgb="FFB42318"/>
      </font>
      <fill>
        <patternFill patternType="solid">
          <fgColor indexed="64"/>
          <bgColor rgb="FFFDE8E7"/>
        </patternFill>
      </fill>
    </dxf>
    <dxf>
      <font>
        <color rgb="FF176B3A"/>
      </font>
      <fill>
        <patternFill patternType="solid">
          <fgColor indexed="64"/>
          <bgColor rgb="FFE4F3EA"/>
        </patternFill>
      </fill>
    </dxf>
    <dxf>
      <font>
        <color rgb="FF7A5A00"/>
      </font>
      <fill>
        <patternFill patternType="solid">
          <fgColor indexed="64"/>
          <bgColor rgb="FFFFF4D6"/>
        </patternFill>
      </fill>
    </dxf>
    <dxf>
      <font>
        <color rgb="FFB42318"/>
      </font>
      <fill>
        <patternFill patternType="solid">
          <fgColor indexed="64"/>
          <bgColor rgb="FFFDE8E7"/>
        </patternFill>
      </fill>
    </dxf>
    <dxf>
      <font>
        <color rgb="FF176B3A"/>
      </font>
      <fill>
        <patternFill patternType="solid">
          <fgColor indexed="64"/>
          <bgColor rgb="FFE4F3EA"/>
        </patternFill>
      </fill>
    </dxf>
    <dxf>
      <font>
        <color rgb="FF7A5A00"/>
      </font>
      <fill>
        <patternFill patternType="solid">
          <fgColor indexed="64"/>
          <bgColor rgb="FFFFF4D6"/>
        </patternFill>
      </fill>
    </dxf>
    <dxf>
      <font>
        <color rgb="FFB42318"/>
      </font>
      <fill>
        <patternFill patternType="solid">
          <fgColor indexed="64"/>
          <bgColor rgb="FFFDE8E7"/>
        </patternFill>
      </fill>
    </dxf>
    <dxf>
      <font>
        <color rgb="FF176B3A"/>
      </font>
      <fill>
        <patternFill patternType="solid">
          <fgColor indexed="64"/>
          <bgColor rgb="FFE4F3EA"/>
        </patternFill>
      </fill>
    </dxf>
    <dxf>
      <font>
        <color rgb="FF7A5A00"/>
      </font>
      <fill>
        <patternFill patternType="solid">
          <fgColor indexed="64"/>
          <bgColor rgb="FFFFF4D6"/>
        </patternFill>
      </fill>
    </dxf>
    <dxf>
      <font>
        <color rgb="FF176B3A"/>
      </font>
      <fill>
        <patternFill patternType="solid">
          <fgColor indexed="64"/>
          <bgColor rgb="FFE4F3EA"/>
        </patternFill>
      </fill>
    </dxf>
    <dxf>
      <font>
        <color rgb="FF7A5A00"/>
      </font>
      <fill>
        <patternFill patternType="solid">
          <fgColor indexed="64"/>
          <bgColor rgb="FFFFF4D6"/>
        </patternFill>
      </fill>
    </dxf>
    <dxf>
      <font>
        <color rgb="FFB42318"/>
      </font>
      <fill>
        <patternFill patternType="solid">
          <fgColor indexed="64"/>
          <bgColor rgb="FFFDE8E7"/>
        </patternFill>
      </fill>
    </dxf>
    <dxf>
      <font>
        <color rgb="FF176B3A"/>
      </font>
      <fill>
        <patternFill patternType="solid">
          <fgColor indexed="64"/>
          <bgColor rgb="FFE4F3EA"/>
        </patternFill>
      </fill>
    </dxf>
    <dxf>
      <font>
        <color rgb="FF7A5A00"/>
      </font>
      <fill>
        <patternFill patternType="solid">
          <fgColor indexed="64"/>
          <bgColor rgb="FFFFF4D6"/>
        </patternFill>
      </fill>
    </dxf>
    <dxf>
      <font>
        <color rgb="FFB42318"/>
      </font>
      <fill>
        <patternFill patternType="solid">
          <fgColor indexed="64"/>
          <bgColor rgb="FFFDE8E7"/>
        </patternFill>
      </fill>
    </dxf>
    <dxf>
      <font>
        <color rgb="FF176B3A"/>
      </font>
      <fill>
        <patternFill patternType="solid">
          <fgColor indexed="64"/>
          <bgColor rgb="FFE4F3EA"/>
        </patternFill>
      </fill>
    </dxf>
    <dxf>
      <font>
        <color rgb="FF7A5A00"/>
      </font>
      <fill>
        <patternFill patternType="solid">
          <fgColor indexed="64"/>
          <bgColor rgb="FFFFF4D6"/>
        </patternFill>
      </fill>
    </dxf>
    <dxf>
      <font>
        <color rgb="FFB42318"/>
      </font>
      <fill>
        <patternFill patternType="solid">
          <fgColor indexed="64"/>
          <bgColor rgb="FFFDE8E7"/>
        </patternFill>
      </fill>
    </dxf>
    <dxf>
      <font>
        <color rgb="FF176B3A"/>
      </font>
      <fill>
        <patternFill patternType="solid">
          <fgColor indexed="64"/>
          <bgColor rgb="FFE4F3EA"/>
        </patternFill>
      </fill>
    </dxf>
    <dxf>
      <font>
        <color rgb="FF7A5A00"/>
      </font>
      <fill>
        <patternFill patternType="solid">
          <fgColor indexed="64"/>
          <bgColor rgb="FFFFF4D6"/>
        </patternFill>
      </fill>
    </dxf>
    <dxf>
      <font>
        <color rgb="FFB42318"/>
      </font>
      <fill>
        <patternFill patternType="solid">
          <fgColor indexed="64"/>
          <bgColor rgb="FFFDE8E7"/>
        </patternFill>
      </fill>
    </dxf>
    <dxf>
      <font>
        <color rgb="FF176B3A"/>
      </font>
      <fill>
        <patternFill patternType="solid">
          <fgColor indexed="64"/>
          <bgColor rgb="FFE4F3EA"/>
        </patternFill>
      </fill>
    </dxf>
    <dxf>
      <font>
        <color rgb="FF7A5A00"/>
      </font>
      <fill>
        <patternFill patternType="solid">
          <fgColor indexed="64"/>
          <bgColor rgb="FFFFF4D6"/>
        </patternFill>
      </fill>
    </dxf>
    <dxf>
      <font>
        <color rgb="FFB42318"/>
      </font>
      <fill>
        <patternFill patternType="solid">
          <fgColor indexed="64"/>
          <bgColor rgb="FFFDE8E7"/>
        </patternFill>
      </fill>
    </dxf>
    <dxf>
      <alignment horizontal="center" vertical="center" textRotation="0" wrapText="0" indent="0" justifyLastLine="0" shrinkToFit="0" readingOrder="0"/>
    </dxf>
    <dxf>
      <alignment horizontal="center" vertical="center" textRotation="0" wrapText="0" indent="0" justifyLastLine="0" shrinkToFit="0" readingOrder="0"/>
    </dxf>
    <dxf>
      <border diagonalUp="0" diagonalDown="0">
        <left/>
        <right style="thin">
          <color indexed="64"/>
        </right>
        <top/>
        <bottom/>
        <vertical/>
        <horizontal/>
      </border>
    </dxf>
    <dxf>
      <border diagonalUp="0" diagonalDown="0">
        <left style="thin">
          <color indexed="64"/>
        </left>
        <right/>
        <top/>
        <bottom/>
        <vertical/>
        <horizontal/>
      </border>
    </dxf>
    <dxf>
      <alignment horizontal="left" vertical="center" textRotation="0" wrapText="1" indent="0" justifyLastLine="0" shrinkToFit="0" readingOrder="0"/>
    </dxf>
    <dxf>
      <alignment horizontal="left"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border>
    </dxf>
    <dxf>
      <border diagonalUp="0" diagonalDown="0">
        <left/>
        <right style="thin">
          <color indexed="64"/>
        </right>
        <top/>
        <bottom/>
        <vertical/>
        <horizontal/>
      </border>
    </dxf>
    <dxf>
      <numFmt numFmtId="4" formatCode="#,##0.00"/>
    </dxf>
    <dxf>
      <numFmt numFmtId="3" formatCode="#,##0"/>
    </dxf>
    <dxf>
      <border diagonalUp="0" diagonalDown="0">
        <left style="thin">
          <color indexed="64"/>
        </left>
        <right/>
        <top/>
        <bottom/>
        <vertical/>
        <horizontal/>
      </border>
    </dxf>
    <dxf>
      <border diagonalUp="0" diagonalDown="0">
        <left/>
        <right style="thin">
          <color indexed="64"/>
        </right>
        <top/>
        <bottom/>
        <vertical/>
        <horizontal/>
      </border>
    </dxf>
    <dxf>
      <numFmt numFmtId="167" formatCode="0.000000"/>
    </dxf>
    <dxf>
      <font>
        <b val="0"/>
        <i val="0"/>
        <strike val="0"/>
        <condense val="0"/>
        <extend val="0"/>
        <outline val="0"/>
        <shadow val="0"/>
        <u val="none"/>
        <vertAlign val="baseline"/>
        <sz val="9"/>
        <color rgb="FF1F4E79"/>
        <name val="Arial"/>
        <charset val="1"/>
        <scheme val="none"/>
      </font>
      <numFmt numFmtId="3" formatCode="#,##0"/>
      <fill>
        <patternFill patternType="solid">
          <fgColor rgb="FFF4F6F5"/>
          <bgColor rgb="FFFFF8E6"/>
        </patternFill>
      </fill>
      <alignment horizontal="left" vertical="bottom"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9"/>
        <color rgb="FF1F4E79"/>
        <name val="Arial"/>
        <charset val="1"/>
        <scheme val="none"/>
      </font>
      <numFmt numFmtId="3" formatCode="#,##0"/>
      <fill>
        <patternFill patternType="solid">
          <fgColor rgb="FFF4F6F5"/>
          <bgColor rgb="FFFFF8E6"/>
        </patternFill>
      </fill>
      <alignment horizontal="left" vertical="bottom"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9"/>
        <color rgb="FF1F4E79"/>
        <name val="Arial"/>
        <charset val="1"/>
        <scheme val="none"/>
      </font>
      <numFmt numFmtId="3" formatCode="#,##0"/>
      <fill>
        <patternFill patternType="solid">
          <fgColor rgb="FFF4F6F5"/>
          <bgColor rgb="FFFFF8E6"/>
        </patternFill>
      </fill>
      <alignment horizontal="left" vertical="bottom" textRotation="0" wrapText="0" indent="0" justifyLastLine="0" shrinkToFit="0" readingOrder="0"/>
      <border diagonalUp="0" diagonalDown="0">
        <left/>
        <right/>
        <top style="thin">
          <color indexed="64"/>
        </top>
        <bottom style="thin">
          <color indexed="64"/>
        </bottom>
        <vertical/>
        <horizontal/>
      </border>
    </dxf>
    <dxf>
      <border diagonalUp="0" diagonalDown="0">
        <left style="thin">
          <color indexed="64"/>
        </left>
        <right/>
        <top/>
        <bottom/>
        <vertical/>
        <horizontal/>
      </border>
    </dxf>
    <dxf>
      <alignment wrapText="1"/>
    </dxf>
    <dxf>
      <alignment wrapText="1"/>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D6A4F"/>
      <rgbColor rgb="FFAFCBBB"/>
      <rgbColor rgb="FF878787"/>
      <rgbColor rgb="FF9999FF"/>
      <rgbColor rgb="FF993366"/>
      <rgbColor rgb="FFFFF8E6"/>
      <rgbColor rgb="FFEAF2ED"/>
      <rgbColor rgb="FF660066"/>
      <rgbColor rgb="FFFF8080"/>
      <rgbColor rgb="FF0066CC"/>
      <rgbColor rgb="FFD5DED8"/>
      <rgbColor rgb="FF000080"/>
      <rgbColor rgb="FFFF00FF"/>
      <rgbColor rgb="FFFFFF00"/>
      <rgbColor rgb="FF00FFFF"/>
      <rgbColor rgb="FF800080"/>
      <rgbColor rgb="FF800000"/>
      <rgbColor rgb="FF3D6B8C"/>
      <rgbColor rgb="FF0000FF"/>
      <rgbColor rgb="FF00CCFF"/>
      <rgbColor rgb="FFF4F6F5"/>
      <rgbColor rgb="FFCCFFCC"/>
      <rgbColor rgb="FFFFFF99"/>
      <rgbColor rgb="FF99CCFF"/>
      <rgbColor rgb="FFFF99CC"/>
      <rgbColor rgb="FFCC99FF"/>
      <rgbColor rgb="FFFFCC99"/>
      <rgbColor rgb="FF3366FF"/>
      <rgbColor rgb="FF33CCCC"/>
      <rgbColor rgb="FF99CC00"/>
      <rgbColor rgb="FFFFCC00"/>
      <rgbColor rgb="FFFF9900"/>
      <rgbColor rgb="FFFF6600"/>
      <rgbColor rgb="FF6E7F76"/>
      <rgbColor rgb="FF7FB093"/>
      <rgbColor rgb="FF003366"/>
      <rgbColor rgb="FF339966"/>
      <rgbColor rgb="FF003300"/>
      <rgbColor rgb="FF1B4332"/>
      <rgbColor rgb="FF993300"/>
      <rgbColor rgb="FF993366"/>
      <rgbColor rgb="FF1F4E79"/>
      <rgbColor rgb="FF22312A"/>
      <rgbColor rgb="00003366"/>
      <rgbColor rgb="00339966"/>
      <rgbColor rgb="00003300"/>
      <rgbColor rgb="00333300"/>
      <rgbColor rgb="00993300"/>
      <rgbColor rgb="00993366"/>
      <rgbColor rgb="00333399"/>
      <rgbColor rgb="00333333"/>
    </indexedColors>
    <mruColors>
      <color rgb="FFAFCBBB"/>
      <color rgb="FF6E7F76"/>
      <color rgb="FFF4F6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v>Scope 1</c:v>
          </c:tx>
          <c:spPr>
            <a:solidFill>
              <a:schemeClr val="accent1"/>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800" b="1" i="0" u="none" strike="noStrike" kern="1200" spc="-1" baseline="0">
                    <a:solidFill>
                      <a:schemeClr val="bg1"/>
                    </a:solidFill>
                    <a:latin typeface="Arial"/>
                    <a:ea typeface="+mn-ea"/>
                    <a:cs typeface="+mn-cs"/>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9525" cap="flat" cmpd="sng" algn="ctr">
                      <a:prstDash val="solid"/>
                      <a:round/>
                    </a:ln>
                    <a:effectLst/>
                  </c:spPr>
                </c15:leaderLines>
              </c:ext>
            </c:extLst>
          </c:dLbls>
          <c:cat>
            <c:strRef>
              <c:f>Dashboard!$B$74:$B$76</c:f>
              <c:strCache>
                <c:ptCount val="3"/>
                <c:pt idx="0">
                  <c:v>Vancouver Office</c:v>
                </c:pt>
                <c:pt idx="1">
                  <c:v>Toronto Office</c:v>
                </c:pt>
                <c:pt idx="2">
                  <c:v>Calgary Office</c:v>
                </c:pt>
              </c:strCache>
            </c:strRef>
          </c:cat>
          <c:val>
            <c:numRef>
              <c:f>Dashboard!$C$74:$C$76</c:f>
              <c:numCache>
                <c:formatCode>General</c:formatCode>
                <c:ptCount val="3"/>
                <c:pt idx="0" formatCode="#,##0">
                  <c:v>132.09201300000004</c:v>
                </c:pt>
                <c:pt idx="1">
                  <c:v>260.71980750000012</c:v>
                </c:pt>
                <c:pt idx="2">
                  <c:v>286.74376221000006</c:v>
                </c:pt>
              </c:numCache>
            </c:numRef>
          </c:val>
          <c:extLst>
            <c:ext xmlns:c16="http://schemas.microsoft.com/office/drawing/2014/chart" uri="{C3380CC4-5D6E-409C-BE32-E72D297353CC}">
              <c16:uniqueId val="{00000000-0692-4521-AA6F-DCC2E96EF877}"/>
            </c:ext>
          </c:extLst>
        </c:ser>
        <c:ser>
          <c:idx val="1"/>
          <c:order val="1"/>
          <c:tx>
            <c:v>Scope 2</c:v>
          </c:tx>
          <c:spPr>
            <a:solidFill>
              <a:schemeClr val="accent3"/>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800" b="1" i="0" u="none" strike="noStrike" kern="1200" spc="-1" baseline="0">
                    <a:solidFill>
                      <a:schemeClr val="accent3">
                        <a:lumMod val="40000"/>
                        <a:lumOff val="60000"/>
                      </a:schemeClr>
                    </a:solidFill>
                    <a:latin typeface="Arial"/>
                    <a:ea typeface="+mn-ea"/>
                    <a:cs typeface="+mn-cs"/>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15:leaderLines>
                  <c:spPr>
                    <a:ln w="9525" cap="flat" cmpd="sng" algn="ctr">
                      <a:prstDash val="solid"/>
                      <a:round/>
                    </a:ln>
                    <a:effectLst/>
                  </c:spPr>
                </c15:leaderLines>
              </c:ext>
            </c:extLst>
          </c:dLbls>
          <c:cat>
            <c:strRef>
              <c:f>Dashboard!$B$76:$B$78</c:f>
              <c:strCache>
                <c:ptCount val="1"/>
                <c:pt idx="0">
                  <c:v>Calgary Office</c:v>
                </c:pt>
              </c:strCache>
            </c:strRef>
          </c:cat>
          <c:val>
            <c:numRef>
              <c:f>Dashboard!$D$74:$D$76</c:f>
              <c:numCache>
                <c:formatCode>General</c:formatCode>
                <c:ptCount val="3"/>
                <c:pt idx="0" formatCode="#,##0">
                  <c:v>7.6319999999999988</c:v>
                </c:pt>
                <c:pt idx="1">
                  <c:v>48.203000000000003</c:v>
                </c:pt>
                <c:pt idx="2">
                  <c:v>271.12200000000001</c:v>
                </c:pt>
              </c:numCache>
            </c:numRef>
          </c:val>
          <c:extLst>
            <c:ext xmlns:c16="http://schemas.microsoft.com/office/drawing/2014/chart" uri="{C3380CC4-5D6E-409C-BE32-E72D297353CC}">
              <c16:uniqueId val="{00000001-0692-4521-AA6F-DCC2E96EF877}"/>
            </c:ext>
          </c:extLst>
        </c:ser>
        <c:dLbls>
          <c:showLegendKey val="0"/>
          <c:showVal val="0"/>
          <c:showCatName val="0"/>
          <c:showSerName val="0"/>
          <c:showPercent val="0"/>
          <c:showBubbleSize val="0"/>
        </c:dLbls>
        <c:gapWidth val="50"/>
        <c:overlap val="100"/>
        <c:axId val="39302395"/>
        <c:axId val="91752486"/>
      </c:barChart>
      <c:catAx>
        <c:axId val="39302395"/>
        <c:scaling>
          <c:orientation val="minMax"/>
        </c:scaling>
        <c:delete val="0"/>
        <c:axPos val="l"/>
        <c:numFmt formatCode="General" sourceLinked="1"/>
        <c:majorTickMark val="none"/>
        <c:minorTickMark val="none"/>
        <c:tickLblPos val="nextTo"/>
        <c:spPr>
          <a:noFill/>
          <a:ln w="9360" cap="flat" cmpd="sng" algn="ctr">
            <a:solidFill>
              <a:srgbClr val="878787"/>
            </a:solidFill>
            <a:prstDash val="solid"/>
            <a:round/>
          </a:ln>
          <a:effectLst/>
        </c:spPr>
        <c:txPr>
          <a:bodyPr rot="-60000000" spcFirstLastPara="1" vertOverflow="ellipsis" vert="horz" wrap="square" anchor="ctr" anchorCtr="1"/>
          <a:lstStyle/>
          <a:p>
            <a:pPr>
              <a:defRPr sz="800" b="0" i="0" u="none" strike="noStrike" kern="1200" spc="-1" baseline="0">
                <a:solidFill>
                  <a:srgbClr val="6E7F76"/>
                </a:solidFill>
                <a:latin typeface="Arial"/>
                <a:ea typeface="+mn-ea"/>
                <a:cs typeface="+mn-cs"/>
              </a:defRPr>
            </a:pPr>
            <a:endParaRPr lang="en-US"/>
          </a:p>
        </c:txPr>
        <c:crossAx val="91752486"/>
        <c:crosses val="autoZero"/>
        <c:auto val="1"/>
        <c:lblAlgn val="ctr"/>
        <c:lblOffset val="100"/>
        <c:noMultiLvlLbl val="0"/>
      </c:catAx>
      <c:valAx>
        <c:axId val="91752486"/>
        <c:scaling>
          <c:orientation val="minMax"/>
        </c:scaling>
        <c:delete val="0"/>
        <c:axPos val="b"/>
        <c:numFmt formatCode="#,##0" sourceLinked="0"/>
        <c:majorTickMark val="none"/>
        <c:minorTickMark val="none"/>
        <c:tickLblPos val="nextTo"/>
        <c:spPr>
          <a:noFill/>
          <a:ln w="9360" cap="flat" cmpd="sng" algn="ctr">
            <a:solidFill>
              <a:srgbClr val="878787"/>
            </a:solidFill>
            <a:prstDash val="solid"/>
            <a:round/>
          </a:ln>
          <a:effectLst/>
        </c:spPr>
        <c:txPr>
          <a:bodyPr rot="-60000000" spcFirstLastPara="1" vertOverflow="ellipsis" vert="horz" wrap="square" anchor="ctr" anchorCtr="1"/>
          <a:lstStyle/>
          <a:p>
            <a:pPr>
              <a:defRPr sz="800" b="0" i="0" u="none" strike="noStrike" kern="1200" spc="-1" baseline="0">
                <a:solidFill>
                  <a:srgbClr val="6E7F76"/>
                </a:solidFill>
                <a:latin typeface="Arial"/>
                <a:ea typeface="+mn-ea"/>
                <a:cs typeface="+mn-cs"/>
              </a:defRPr>
            </a:pPr>
            <a:endParaRPr lang="en-US"/>
          </a:p>
        </c:txPr>
        <c:crossAx val="39302395"/>
        <c:crosses val="autoZero"/>
        <c:crossBetween val="between"/>
      </c:valAx>
      <c:spPr>
        <a:noFill/>
        <a:ln w="0">
          <a:noFill/>
        </a:ln>
        <a:effectLst/>
      </c:spPr>
    </c:plotArea>
    <c:legend>
      <c:legendPos val="b"/>
      <c:overlay val="0"/>
      <c:spPr>
        <a:noFill/>
        <a:ln w="0">
          <a:noFill/>
        </a:ln>
        <a:effectLst/>
      </c:spPr>
      <c:txPr>
        <a:bodyPr rot="0" spcFirstLastPara="1" vertOverflow="ellipsis" vert="horz" wrap="square" anchor="ctr" anchorCtr="1"/>
        <a:lstStyle/>
        <a:p>
          <a:pPr>
            <a:defRPr sz="800" b="0" i="0" u="none" strike="noStrike" kern="1200" spc="-1" baseline="0">
              <a:solidFill>
                <a:srgbClr val="6E7F76"/>
              </a:solidFill>
              <a:latin typeface="Arial"/>
              <a:ea typeface="+mn-ea"/>
              <a:cs typeface="+mn-cs"/>
            </a:defRPr>
          </a:pPr>
          <a:endParaRPr lang="en-US"/>
        </a:p>
      </c:txPr>
    </c:legend>
    <c:plotVisOnly val="1"/>
    <c:dispBlanksAs val="gap"/>
    <c:showDLblsOverMax val="1"/>
  </c:chart>
  <c:spPr>
    <a:noFill/>
    <a:ln w="9360" cap="flat" cmpd="sng" algn="ctr">
      <a:noFill/>
      <a:prstDash val="solid"/>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Dashboard!$B$100</c:f>
              <c:strCache>
                <c:ptCount val="1"/>
                <c:pt idx="0">
                  <c:v>Scope 1 (tCO₂e)</c:v>
                </c:pt>
              </c:strCache>
            </c:strRef>
          </c:tx>
          <c:spPr>
            <a:ln w="38100"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Dashboard!$C$99:$N$99</c:f>
              <c:numCache>
                <c:formatCode>mmm</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Dashboard!$C$100:$N$100</c:f>
              <c:numCache>
                <c:formatCode>#,##0.0</c:formatCode>
                <c:ptCount val="12"/>
                <c:pt idx="0">
                  <c:v>93.968456079999996</c:v>
                </c:pt>
                <c:pt idx="1">
                  <c:v>85.58943299000002</c:v>
                </c:pt>
                <c:pt idx="2">
                  <c:v>67.946447770000006</c:v>
                </c:pt>
                <c:pt idx="3">
                  <c:v>58.38295059</c:v>
                </c:pt>
                <c:pt idx="4">
                  <c:v>48.000485009999998</c:v>
                </c:pt>
                <c:pt idx="5">
                  <c:v>37.396899390000002</c:v>
                </c:pt>
                <c:pt idx="6">
                  <c:v>28.284062999999996</c:v>
                </c:pt>
                <c:pt idx="7">
                  <c:v>29.406612280000001</c:v>
                </c:pt>
                <c:pt idx="8">
                  <c:v>30.670942420000003</c:v>
                </c:pt>
                <c:pt idx="9">
                  <c:v>50.057900580000002</c:v>
                </c:pt>
                <c:pt idx="10">
                  <c:v>67.472321390000005</c:v>
                </c:pt>
                <c:pt idx="11">
                  <c:v>82.379071210000006</c:v>
                </c:pt>
              </c:numCache>
            </c:numRef>
          </c:val>
          <c:smooth val="1"/>
          <c:extLst>
            <c:ext xmlns:c16="http://schemas.microsoft.com/office/drawing/2014/chart" uri="{C3380CC4-5D6E-409C-BE32-E72D297353CC}">
              <c16:uniqueId val="{00000000-159B-448E-9E11-5F4DB4EAE49F}"/>
            </c:ext>
          </c:extLst>
        </c:ser>
        <c:ser>
          <c:idx val="1"/>
          <c:order val="1"/>
          <c:tx>
            <c:strRef>
              <c:f>Dashboard!$B$101</c:f>
              <c:strCache>
                <c:ptCount val="1"/>
                <c:pt idx="0">
                  <c:v>Scope 2 (tCO₂e)</c:v>
                </c:pt>
              </c:strCache>
            </c:strRef>
          </c:tx>
          <c:spPr>
            <a:ln w="38100"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Dashboard!$C$99:$N$99</c:f>
              <c:numCache>
                <c:formatCode>mmm</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Dashboard!$C$101:$N$101</c:f>
              <c:numCache>
                <c:formatCode>#,##0.0</c:formatCode>
                <c:ptCount val="12"/>
                <c:pt idx="0">
                  <c:v>23.826000000000001</c:v>
                </c:pt>
                <c:pt idx="1">
                  <c:v>24.760999999999999</c:v>
                </c:pt>
                <c:pt idx="2">
                  <c:v>26.346999999999998</c:v>
                </c:pt>
                <c:pt idx="3">
                  <c:v>25.968</c:v>
                </c:pt>
                <c:pt idx="4">
                  <c:v>26.482999999999997</c:v>
                </c:pt>
                <c:pt idx="5">
                  <c:v>27.417999999999999</c:v>
                </c:pt>
                <c:pt idx="6">
                  <c:v>29.713999999999999</c:v>
                </c:pt>
                <c:pt idx="7">
                  <c:v>31.281999999999996</c:v>
                </c:pt>
                <c:pt idx="8">
                  <c:v>33.188000000000002</c:v>
                </c:pt>
                <c:pt idx="9">
                  <c:v>27.358999999999998</c:v>
                </c:pt>
                <c:pt idx="10">
                  <c:v>25.849999999999998</c:v>
                </c:pt>
                <c:pt idx="11">
                  <c:v>24.760999999999999</c:v>
                </c:pt>
              </c:numCache>
            </c:numRef>
          </c:val>
          <c:smooth val="1"/>
          <c:extLst>
            <c:ext xmlns:c16="http://schemas.microsoft.com/office/drawing/2014/chart" uri="{C3380CC4-5D6E-409C-BE32-E72D297353CC}">
              <c16:uniqueId val="{00000001-159B-448E-9E11-5F4DB4EAE49F}"/>
            </c:ext>
          </c:extLst>
        </c:ser>
        <c:dLbls>
          <c:dLblPos val="t"/>
          <c:showLegendKey val="0"/>
          <c:showVal val="1"/>
          <c:showCatName val="0"/>
          <c:showSerName val="0"/>
          <c:showPercent val="0"/>
          <c:showBubbleSize val="0"/>
        </c:dLbls>
        <c:smooth val="0"/>
        <c:axId val="1373613408"/>
        <c:axId val="1853992976"/>
      </c:lineChart>
      <c:dateAx>
        <c:axId val="1373613408"/>
        <c:scaling>
          <c:orientation val="minMax"/>
        </c:scaling>
        <c:delete val="0"/>
        <c:axPos val="b"/>
        <c:numFmt formatCode="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992976"/>
        <c:crosses val="autoZero"/>
        <c:auto val="1"/>
        <c:lblOffset val="100"/>
        <c:baseTimeUnit val="months"/>
      </c:dateAx>
      <c:valAx>
        <c:axId val="1853992976"/>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6134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v>Scope 1 tCO2e</c:v>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Dashboard!$E$65:$E$67</c:f>
              <c:strCache>
                <c:ptCount val="3"/>
                <c:pt idx="0">
                  <c:v>Diesel (mobile) · 11.2%</c:v>
                </c:pt>
                <c:pt idx="1">
                  <c:v>Motor gasoline (mobile) · 20.6%</c:v>
                </c:pt>
                <c:pt idx="2">
                  <c:v>Natural gas (stationary) · 68.2%</c:v>
                </c:pt>
              </c:strCache>
            </c:strRef>
          </c:cat>
          <c:val>
            <c:numRef>
              <c:f>Dashboard!$C$65:$C$67</c:f>
              <c:numCache>
                <c:formatCode>General</c:formatCode>
                <c:ptCount val="3"/>
                <c:pt idx="0" formatCode="#,##0">
                  <c:v>76.448668020000014</c:v>
                </c:pt>
                <c:pt idx="1">
                  <c:v>139.90149300000002</c:v>
                </c:pt>
                <c:pt idx="2">
                  <c:v>463.20542168999992</c:v>
                </c:pt>
              </c:numCache>
            </c:numRef>
          </c:val>
          <c:extLst>
            <c:ext xmlns:c16="http://schemas.microsoft.com/office/drawing/2014/chart" uri="{C3380CC4-5D6E-409C-BE32-E72D297353CC}">
              <c16:uniqueId val="{00000000-2643-427E-B856-C0ABAB2D9944}"/>
            </c:ext>
          </c:extLst>
        </c:ser>
        <c:dLbls>
          <c:showLegendKey val="0"/>
          <c:showVal val="0"/>
          <c:showCatName val="0"/>
          <c:showSerName val="0"/>
          <c:showPercent val="0"/>
          <c:showBubbleSize val="0"/>
        </c:dLbls>
        <c:gapWidth val="182"/>
        <c:axId val="376868352"/>
        <c:axId val="374139312"/>
      </c:barChart>
      <c:catAx>
        <c:axId val="376868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139312"/>
        <c:crosses val="autoZero"/>
        <c:auto val="1"/>
        <c:lblAlgn val="ctr"/>
        <c:lblOffset val="100"/>
        <c:noMultiLvlLbl val="0"/>
      </c:catAx>
      <c:valAx>
        <c:axId val="374139312"/>
        <c:scaling>
          <c:orientation val="minMax"/>
        </c:scaling>
        <c:delete val="1"/>
        <c:axPos val="b"/>
        <c:numFmt formatCode="#,##0" sourceLinked="1"/>
        <c:majorTickMark val="none"/>
        <c:minorTickMark val="none"/>
        <c:tickLblPos val="nextTo"/>
        <c:crossAx val="37686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[Canadian_GHG_Inventory_2026_Scope1_Scope2.xlsx]Scope 1!PivotTable5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rgbClr val="000000">
                    <a:lumMod val="65000"/>
                    <a:lumOff val="35000"/>
                  </a:srgbClr>
                </a:solidFill>
              </a:rPr>
              <a:t>Scope 1 Emission Monthly Trend by Facility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'Scope 1'!$C$110:$C$111</c:f>
              <c:strCache>
                <c:ptCount val="1"/>
                <c:pt idx="0">
                  <c:v>Calgary Office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'Scope 1'!$B$112:$B$124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'Scope 1'!$C$112:$C$124</c:f>
              <c:numCache>
                <c:formatCode>#,##0.00</c:formatCode>
                <c:ptCount val="12"/>
                <c:pt idx="0">
                  <c:v>37.525030829999999</c:v>
                </c:pt>
                <c:pt idx="1">
                  <c:v>34.329225960000002</c:v>
                </c:pt>
                <c:pt idx="2">
                  <c:v>27.800876549999998</c:v>
                </c:pt>
                <c:pt idx="3">
                  <c:v>24.624155729999998</c:v>
                </c:pt>
                <c:pt idx="4">
                  <c:v>20.897810040000003</c:v>
                </c:pt>
                <c:pt idx="5">
                  <c:v>16.894018710000001</c:v>
                </c:pt>
                <c:pt idx="6">
                  <c:v>13.31077404</c:v>
                </c:pt>
                <c:pt idx="7">
                  <c:v>13.824235950000002</c:v>
                </c:pt>
                <c:pt idx="8">
                  <c:v>14.158867770000002</c:v>
                </c:pt>
                <c:pt idx="9">
                  <c:v>21.566945610000005</c:v>
                </c:pt>
                <c:pt idx="10">
                  <c:v>28.085505780000005</c:v>
                </c:pt>
                <c:pt idx="11">
                  <c:v>33.726315240000005</c:v>
                </c:pt>
              </c:numCache>
            </c:numRef>
          </c:val>
          <c:smooth val="1"/>
          <c:extLst>
            <c:ext xmlns:c16="http://schemas.microsoft.com/office/drawing/2014/chart" uri="{C3380CC4-5D6E-409C-BE32-E72D297353CC}">
              <c16:uniqueId val="{00000000-1DA5-4540-8309-8085DC636E75}"/>
            </c:ext>
          </c:extLst>
        </c:ser>
        <c:ser>
          <c:idx val="1"/>
          <c:order val="1"/>
          <c:tx>
            <c:strRef>
              <c:f>'Scope 1'!$D$110:$D$111</c:f>
              <c:strCache>
                <c:ptCount val="1"/>
                <c:pt idx="0">
                  <c:v>Toronto Office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'Scope 1'!$B$112:$B$124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'Scope 1'!$D$112:$D$124</c:f>
              <c:numCache>
                <c:formatCode>#,##0.00</c:formatCode>
                <c:ptCount val="12"/>
                <c:pt idx="0">
                  <c:v>37.417769400000005</c:v>
                </c:pt>
                <c:pt idx="1">
                  <c:v>34.003631640000002</c:v>
                </c:pt>
                <c:pt idx="2">
                  <c:v>26.703276060000004</c:v>
                </c:pt>
                <c:pt idx="3">
                  <c:v>22.275871250000002</c:v>
                </c:pt>
                <c:pt idx="4">
                  <c:v>17.987372440000001</c:v>
                </c:pt>
                <c:pt idx="5">
                  <c:v>13.699862020000001</c:v>
                </c:pt>
                <c:pt idx="6">
                  <c:v>10.014451080000001</c:v>
                </c:pt>
                <c:pt idx="7">
                  <c:v>10.415743680000002</c:v>
                </c:pt>
                <c:pt idx="8">
                  <c:v>10.980106580000001</c:v>
                </c:pt>
                <c:pt idx="9">
                  <c:v>18.978130810000003</c:v>
                </c:pt>
                <c:pt idx="10">
                  <c:v>26.089638000000004</c:v>
                </c:pt>
                <c:pt idx="11">
                  <c:v>32.153954540000001</c:v>
                </c:pt>
              </c:numCache>
            </c:numRef>
          </c:val>
          <c:smooth val="1"/>
          <c:extLst>
            <c:ext xmlns:c16="http://schemas.microsoft.com/office/drawing/2014/chart" uri="{C3380CC4-5D6E-409C-BE32-E72D297353CC}">
              <c16:uniqueId val="{00000001-1DA5-4540-8309-8085DC636E75}"/>
            </c:ext>
          </c:extLst>
        </c:ser>
        <c:ser>
          <c:idx val="2"/>
          <c:order val="2"/>
          <c:tx>
            <c:strRef>
              <c:f>'Scope 1'!$E$110:$E$111</c:f>
              <c:strCache>
                <c:ptCount val="1"/>
                <c:pt idx="0">
                  <c:v>Vancouver Office</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'Scope 1'!$B$112:$B$124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'Scope 1'!$E$112:$E$124</c:f>
              <c:numCache>
                <c:formatCode>#,##0.00</c:formatCode>
                <c:ptCount val="12"/>
                <c:pt idx="0">
                  <c:v>19.02565585</c:v>
                </c:pt>
                <c:pt idx="1">
                  <c:v>17.256575390000002</c:v>
                </c:pt>
                <c:pt idx="2">
                  <c:v>13.44229516</c:v>
                </c:pt>
                <c:pt idx="3">
                  <c:v>11.48292361</c:v>
                </c:pt>
                <c:pt idx="4">
                  <c:v>9.115302530000001</c:v>
                </c:pt>
                <c:pt idx="5">
                  <c:v>6.8030186600000011</c:v>
                </c:pt>
                <c:pt idx="6">
                  <c:v>4.9588378800000008</c:v>
                </c:pt>
                <c:pt idx="7">
                  <c:v>5.1666326500000004</c:v>
                </c:pt>
                <c:pt idx="8">
                  <c:v>5.5319680700000005</c:v>
                </c:pt>
                <c:pt idx="9">
                  <c:v>9.512824160000001</c:v>
                </c:pt>
                <c:pt idx="10">
                  <c:v>13.297177610000002</c:v>
                </c:pt>
                <c:pt idx="11">
                  <c:v>16.49880143</c:v>
                </c:pt>
              </c:numCache>
            </c:numRef>
          </c:val>
          <c:smooth val="1"/>
          <c:extLst>
            <c:ext xmlns:c16="http://schemas.microsoft.com/office/drawing/2014/chart" uri="{C3380CC4-5D6E-409C-BE32-E72D297353CC}">
              <c16:uniqueId val="{00000002-1DA5-4540-8309-8085DC636E75}"/>
            </c:ext>
          </c:extLst>
        </c:ser>
        <c:dLbls>
          <c:dLblPos val="t"/>
          <c:showLegendKey val="0"/>
          <c:showVal val="1"/>
          <c:showCatName val="0"/>
          <c:showSerName val="0"/>
          <c:showPercent val="0"/>
          <c:showBubbleSize val="0"/>
        </c:dLbls>
        <c:smooth val="0"/>
        <c:axId val="60325216"/>
        <c:axId val="1806414095"/>
      </c:lineChart>
      <c:catAx>
        <c:axId val="60325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414095"/>
        <c:crosses val="autoZero"/>
        <c:auto val="1"/>
        <c:lblAlgn val="ctr"/>
        <c:lblOffset val="100"/>
        <c:noMultiLvlLbl val="0"/>
      </c:catAx>
      <c:valAx>
        <c:axId val="1806414095"/>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sz="1000" b="1" i="0" u="none" strike="noStrike" kern="1200" baseline="0">
                    <a:solidFill>
                      <a:srgbClr val="000000">
                        <a:lumMod val="65000"/>
                        <a:lumOff val="35000"/>
                      </a:srgbClr>
                    </a:solidFill>
                  </a:rPr>
                  <a:t>GHG Emission (tCO</a:t>
                </a:r>
                <a:r>
                  <a:rPr lang="en-US" sz="1000" b="1" i="0" u="none" strike="noStrike" kern="1200" baseline="-25000">
                    <a:solidFill>
                      <a:srgbClr val="000000">
                        <a:lumMod val="65000"/>
                        <a:lumOff val="35000"/>
                      </a:srgbClr>
                    </a:solidFill>
                  </a:rPr>
                  <a:t>2</a:t>
                </a:r>
                <a:r>
                  <a:rPr lang="en-US" sz="1000" b="1" i="0" u="none" strike="noStrike" kern="1200" baseline="0">
                    <a:solidFill>
                      <a:srgbClr val="000000">
                        <a:lumMod val="65000"/>
                        <a:lumOff val="35000"/>
                      </a:srgbClr>
                    </a:solidFill>
                  </a:rPr>
                  <a:t>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25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[Canadian_GHG_Inventory_2026_Scope1_Scope2.xlsx]Scope 2!PivotTable2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Scope</a:t>
            </a:r>
            <a:r>
              <a:rPr lang="en-US" b="1" baseline="0"/>
              <a:t> 2 Emission Monthly Trend by Facility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'Scope 2'!$C$51:$C$52</c:f>
              <c:strCache>
                <c:ptCount val="1"/>
                <c:pt idx="0">
                  <c:v>Calgary Office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'Scope 2'!$B$53:$B$65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'Scope 2'!$C$53:$C$65</c:f>
              <c:numCache>
                <c:formatCode>#,##0.00</c:formatCode>
                <c:ptCount val="12"/>
                <c:pt idx="0">
                  <c:v>19.71</c:v>
                </c:pt>
                <c:pt idx="1">
                  <c:v>20.585999999999999</c:v>
                </c:pt>
                <c:pt idx="2">
                  <c:v>21.9</c:v>
                </c:pt>
                <c:pt idx="3">
                  <c:v>21.462</c:v>
                </c:pt>
                <c:pt idx="4">
                  <c:v>21.9</c:v>
                </c:pt>
                <c:pt idx="5">
                  <c:v>22.776</c:v>
                </c:pt>
                <c:pt idx="6">
                  <c:v>24.527999999999999</c:v>
                </c:pt>
                <c:pt idx="7">
                  <c:v>25.841999999999999</c:v>
                </c:pt>
                <c:pt idx="8">
                  <c:v>27.594000000000001</c:v>
                </c:pt>
                <c:pt idx="9">
                  <c:v>22.776</c:v>
                </c:pt>
                <c:pt idx="10">
                  <c:v>21.462</c:v>
                </c:pt>
                <c:pt idx="11">
                  <c:v>20.585999999999999</c:v>
                </c:pt>
              </c:numCache>
            </c:numRef>
          </c:val>
          <c:smooth val="1"/>
          <c:extLst>
            <c:ext xmlns:c16="http://schemas.microsoft.com/office/drawing/2014/chart" uri="{C3380CC4-5D6E-409C-BE32-E72D297353CC}">
              <c16:uniqueId val="{00000000-1DA5-4540-8309-8085DC636E75}"/>
            </c:ext>
          </c:extLst>
        </c:ser>
        <c:ser>
          <c:idx val="1"/>
          <c:order val="1"/>
          <c:tx>
            <c:strRef>
              <c:f>'Scope 2'!$D$51:$D$52</c:f>
              <c:strCache>
                <c:ptCount val="1"/>
                <c:pt idx="0">
                  <c:v>Toronto Office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'Scope 2'!$B$53:$B$65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'Scope 2'!$D$53:$D$65</c:f>
              <c:numCache>
                <c:formatCode>#,##0.00</c:formatCode>
                <c:ptCount val="12"/>
                <c:pt idx="0">
                  <c:v>3.54</c:v>
                </c:pt>
                <c:pt idx="1">
                  <c:v>3.5990000000000002</c:v>
                </c:pt>
                <c:pt idx="2">
                  <c:v>3.835</c:v>
                </c:pt>
                <c:pt idx="3">
                  <c:v>3.8940000000000001</c:v>
                </c:pt>
                <c:pt idx="4">
                  <c:v>3.9529999999999998</c:v>
                </c:pt>
                <c:pt idx="5">
                  <c:v>4.0119999999999996</c:v>
                </c:pt>
                <c:pt idx="6">
                  <c:v>4.484</c:v>
                </c:pt>
                <c:pt idx="7">
                  <c:v>4.72</c:v>
                </c:pt>
                <c:pt idx="8">
                  <c:v>4.8380000000000001</c:v>
                </c:pt>
                <c:pt idx="9">
                  <c:v>3.9529999999999998</c:v>
                </c:pt>
                <c:pt idx="10">
                  <c:v>3.7759999999999998</c:v>
                </c:pt>
                <c:pt idx="11">
                  <c:v>3.5990000000000002</c:v>
                </c:pt>
              </c:numCache>
            </c:numRef>
          </c:val>
          <c:smooth val="1"/>
          <c:extLst>
            <c:ext xmlns:c16="http://schemas.microsoft.com/office/drawing/2014/chart" uri="{C3380CC4-5D6E-409C-BE32-E72D297353CC}">
              <c16:uniqueId val="{00000001-1DA5-4540-8309-8085DC636E75}"/>
            </c:ext>
          </c:extLst>
        </c:ser>
        <c:ser>
          <c:idx val="2"/>
          <c:order val="2"/>
          <c:tx>
            <c:strRef>
              <c:f>'Scope 2'!$E$51:$E$52</c:f>
              <c:strCache>
                <c:ptCount val="1"/>
                <c:pt idx="0">
                  <c:v>Vancouver Office</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'Scope 2'!$B$53:$B$65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'Scope 2'!$E$53:$E$65</c:f>
              <c:numCache>
                <c:formatCode>#,##0.00</c:formatCode>
                <c:ptCount val="12"/>
                <c:pt idx="0">
                  <c:v>0.57599999999999996</c:v>
                </c:pt>
                <c:pt idx="1">
                  <c:v>0.57599999999999996</c:v>
                </c:pt>
                <c:pt idx="2">
                  <c:v>0.61199999999999999</c:v>
                </c:pt>
                <c:pt idx="3">
                  <c:v>0.61199999999999999</c:v>
                </c:pt>
                <c:pt idx="4">
                  <c:v>0.63</c:v>
                </c:pt>
                <c:pt idx="5">
                  <c:v>0.63</c:v>
                </c:pt>
                <c:pt idx="6">
                  <c:v>0.70199999999999996</c:v>
                </c:pt>
                <c:pt idx="7">
                  <c:v>0.72</c:v>
                </c:pt>
                <c:pt idx="8">
                  <c:v>0.75599999999999989</c:v>
                </c:pt>
                <c:pt idx="9">
                  <c:v>0.63</c:v>
                </c:pt>
                <c:pt idx="10">
                  <c:v>0.61199999999999999</c:v>
                </c:pt>
                <c:pt idx="11">
                  <c:v>0.57599999999999996</c:v>
                </c:pt>
              </c:numCache>
            </c:numRef>
          </c:val>
          <c:smooth val="1"/>
          <c:extLst>
            <c:ext xmlns:c16="http://schemas.microsoft.com/office/drawing/2014/chart" uri="{C3380CC4-5D6E-409C-BE32-E72D297353CC}">
              <c16:uniqueId val="{00000002-1DA5-4540-8309-8085DC636E75}"/>
            </c:ext>
          </c:extLst>
        </c:ser>
        <c:dLbls>
          <c:dLblPos val="t"/>
          <c:showLegendKey val="0"/>
          <c:showVal val="1"/>
          <c:showCatName val="0"/>
          <c:showSerName val="0"/>
          <c:showPercent val="0"/>
          <c:showBubbleSize val="0"/>
        </c:dLbls>
        <c:smooth val="0"/>
        <c:axId val="60325216"/>
        <c:axId val="1806414095"/>
      </c:lineChart>
      <c:catAx>
        <c:axId val="60325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414095"/>
        <c:crosses val="autoZero"/>
        <c:auto val="1"/>
        <c:lblAlgn val="ctr"/>
        <c:lblOffset val="100"/>
        <c:noMultiLvlLbl val="0"/>
      </c:catAx>
      <c:valAx>
        <c:axId val="1806414095"/>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GHG</a:t>
                </a:r>
                <a:r>
                  <a:rPr lang="en-US" b="1" baseline="0"/>
                  <a:t> Emission (tCO</a:t>
                </a:r>
                <a:r>
                  <a:rPr lang="en-US" b="1" baseline="-25000"/>
                  <a:t>2</a:t>
                </a:r>
                <a:r>
                  <a:rPr lang="en-US" b="1" baseline="0"/>
                  <a:t>e)</a:t>
                </a:r>
                <a:endParaRPr lang="en-US"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25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absoluteAnchor>
    <xdr:pos x="3060700" y="787400"/>
    <xdr:ext cx="2400300" cy="990600"/>
    <xdr:sp macro="" textlink="">
      <xdr:nvSpPr>
        <xdr:cNvPr id="38" name="KPI_BG_1">
          <a:extLst>
            <a:ext uri="{FF2B5EF4-FFF2-40B4-BE49-F238E27FC236}">
              <a16:creationId xmlns:a16="http://schemas.microsoft.com/office/drawing/2014/main" id="{425D8992-A0D1-4F26-9A70-1364C3DD5217}"/>
            </a:ext>
          </a:extLst>
        </xdr:cNvPr>
        <xdr:cNvSpPr/>
      </xdr:nvSpPr>
      <xdr:spPr>
        <a:xfrm>
          <a:off x="3060700" y="787400"/>
          <a:ext cx="2400300" cy="990600"/>
        </a:xfrm>
        <a:prstGeom prst="roundRect">
          <a:avLst/>
        </a:prstGeom>
        <a:solidFill>
          <a:srgbClr val="FFFFFF"/>
        </a:solidFill>
        <a:ln w="12700" cap="flat" cmpd="sng" algn="ctr">
          <a:solidFill>
            <a:srgbClr val="E5E7EB"/>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absoluteAnchor>
  <xdr:absoluteAnchor>
    <xdr:pos x="5638800" y="787400"/>
    <xdr:ext cx="2400300" cy="990600"/>
    <xdr:sp macro="" textlink="">
      <xdr:nvSpPr>
        <xdr:cNvPr id="37" name="KPI_BG_2">
          <a:extLst>
            <a:ext uri="{FF2B5EF4-FFF2-40B4-BE49-F238E27FC236}">
              <a16:creationId xmlns:a16="http://schemas.microsoft.com/office/drawing/2014/main" id="{DE8293E6-1545-C1FD-4575-E8B757B95795}"/>
            </a:ext>
          </a:extLst>
        </xdr:cNvPr>
        <xdr:cNvSpPr/>
      </xdr:nvSpPr>
      <xdr:spPr>
        <a:xfrm>
          <a:off x="5638800" y="787400"/>
          <a:ext cx="2400300" cy="990600"/>
        </a:xfrm>
        <a:prstGeom prst="roundRect">
          <a:avLst/>
        </a:prstGeom>
        <a:solidFill>
          <a:srgbClr val="FFFFFF"/>
        </a:solidFill>
        <a:ln w="12700" cap="flat" cmpd="sng" algn="ctr">
          <a:solidFill>
            <a:srgbClr val="E5E7EB"/>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absoluteAnchor>
  <xdr:twoCellAnchor>
    <xdr:from>
      <xdr:col>1</xdr:col>
      <xdr:colOff>79131</xdr:colOff>
      <xdr:row>15</xdr:row>
      <xdr:rowOff>70519</xdr:rowOff>
    </xdr:from>
    <xdr:to>
      <xdr:col>25</xdr:col>
      <xdr:colOff>231531</xdr:colOff>
      <xdr:row>30</xdr:row>
      <xdr:rowOff>55133</xdr:rowOff>
    </xdr:to>
    <xdr:sp macro="" textlink="">
      <xdr:nvSpPr>
        <xdr:cNvPr id="33" name="ChartCard_BG_0">
          <a:extLst>
            <a:ext uri="{FF2B5EF4-FFF2-40B4-BE49-F238E27FC236}">
              <a16:creationId xmlns:a16="http://schemas.microsoft.com/office/drawing/2014/main" id="{248E661B-28C9-4B0F-AC05-39449F78A58C}"/>
            </a:ext>
          </a:extLst>
        </xdr:cNvPr>
        <xdr:cNvSpPr/>
      </xdr:nvSpPr>
      <xdr:spPr>
        <a:xfrm>
          <a:off x="476696" y="2149454"/>
          <a:ext cx="7838661" cy="2303744"/>
        </a:xfrm>
        <a:prstGeom prst="roundRect">
          <a:avLst/>
        </a:prstGeom>
        <a:solidFill>
          <a:srgbClr val="FFFFFF"/>
        </a:solidFill>
        <a:ln w="12700" cap="flat" cmpd="sng" algn="ctr">
          <a:solidFill>
            <a:schemeClr val="bg1"/>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lang="en-PH"/>
            <a:t>z</a:t>
          </a:r>
        </a:p>
      </xdr:txBody>
    </xdr:sp>
    <xdr:clientData/>
  </xdr:twoCellAnchor>
  <xdr:twoCellAnchor>
    <xdr:from>
      <xdr:col>26</xdr:col>
      <xdr:colOff>733</xdr:colOff>
      <xdr:row>15</xdr:row>
      <xdr:rowOff>70519</xdr:rowOff>
    </xdr:from>
    <xdr:to>
      <xdr:col>52</xdr:col>
      <xdr:colOff>538529</xdr:colOff>
      <xdr:row>30</xdr:row>
      <xdr:rowOff>55133</xdr:rowOff>
    </xdr:to>
    <xdr:sp macro="" textlink="">
      <xdr:nvSpPr>
        <xdr:cNvPr id="27" name="ChartCard_BG_0">
          <a:extLst>
            <a:ext uri="{FF2B5EF4-FFF2-40B4-BE49-F238E27FC236}">
              <a16:creationId xmlns:a16="http://schemas.microsoft.com/office/drawing/2014/main" id="{870B2A7B-61E3-4E1B-991C-DBB38E826C48}"/>
            </a:ext>
          </a:extLst>
        </xdr:cNvPr>
        <xdr:cNvSpPr/>
      </xdr:nvSpPr>
      <xdr:spPr>
        <a:xfrm>
          <a:off x="8548385" y="2149454"/>
          <a:ext cx="5962905" cy="2303744"/>
        </a:xfrm>
        <a:prstGeom prst="roundRect">
          <a:avLst/>
        </a:prstGeom>
        <a:solidFill>
          <a:srgbClr val="FFFFFF"/>
        </a:solidFill>
        <a:ln w="12700" cap="flat" cmpd="sng" algn="ctr">
          <a:solidFill>
            <a:schemeClr val="bg1"/>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lang="en-PH"/>
            <a:t>z</a:t>
          </a:r>
        </a:p>
      </xdr:txBody>
    </xdr:sp>
    <xdr:clientData/>
  </xdr:twoCellAnchor>
  <xdr:twoCellAnchor editAs="oneCell">
    <xdr:from>
      <xdr:col>27</xdr:col>
      <xdr:colOff>50799</xdr:colOff>
      <xdr:row>15</xdr:row>
      <xdr:rowOff>121347</xdr:rowOff>
    </xdr:from>
    <xdr:to>
      <xdr:col>52</xdr:col>
      <xdr:colOff>342899</xdr:colOff>
      <xdr:row>30</xdr:row>
      <xdr:rowOff>40592</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123825</xdr:colOff>
      <xdr:row>16</xdr:row>
      <xdr:rowOff>104775</xdr:rowOff>
    </xdr:from>
    <xdr:to>
      <xdr:col>25</xdr:col>
      <xdr:colOff>0</xdr:colOff>
      <xdr:row>29</xdr:row>
      <xdr:rowOff>57150</xdr:rowOff>
    </xdr:to>
    <xdr:graphicFrame macro="">
      <xdr:nvGraphicFramePr>
        <xdr:cNvPr id="5" name="Chart4_MonthlyTrend">
          <a:extLst>
            <a:ext uri="{FF2B5EF4-FFF2-40B4-BE49-F238E27FC236}">
              <a16:creationId xmlns:a16="http://schemas.microsoft.com/office/drawing/2014/main" id="{536DE98B-91BE-9674-FC5A-68E8054C01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absoluteAnchor>
    <xdr:pos x="482600" y="787400"/>
    <xdr:ext cx="2400300" cy="990600"/>
    <xdr:sp macro="" textlink="">
      <xdr:nvSpPr>
        <xdr:cNvPr id="6" name="KPI_BG_0">
          <a:extLst>
            <a:ext uri="{FF2B5EF4-FFF2-40B4-BE49-F238E27FC236}">
              <a16:creationId xmlns:a16="http://schemas.microsoft.com/office/drawing/2014/main" id="{480706C3-9DD8-4D8F-B6E9-75E63385C507}"/>
            </a:ext>
          </a:extLst>
        </xdr:cNvPr>
        <xdr:cNvSpPr/>
      </xdr:nvSpPr>
      <xdr:spPr>
        <a:xfrm>
          <a:off x="482600" y="787400"/>
          <a:ext cx="2400300" cy="990600"/>
        </a:xfrm>
        <a:prstGeom prst="roundRect">
          <a:avLst/>
        </a:prstGeom>
        <a:solidFill>
          <a:srgbClr val="1B4332"/>
        </a:solidFill>
        <a:ln w="25400" cap="flat" cmpd="sng" algn="ctr">
          <a:solidFill>
            <a:srgbClr val="D8E0DC"/>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absoluteAnchor>
  <xdr:absoluteAnchor>
    <xdr:pos x="482600" y="787400"/>
    <xdr:ext cx="2400300" cy="50800"/>
    <xdr:sp macro="" textlink="">
      <xdr:nvSpPr>
        <xdr:cNvPr id="7" name="KPI_ACCENT_0">
          <a:extLst>
            <a:ext uri="{FF2B5EF4-FFF2-40B4-BE49-F238E27FC236}">
              <a16:creationId xmlns:a16="http://schemas.microsoft.com/office/drawing/2014/main" id="{ADBCDC2D-12AD-439E-B198-6A6DFCDCFEEF}"/>
            </a:ext>
          </a:extLst>
        </xdr:cNvPr>
        <xdr:cNvSpPr/>
      </xdr:nvSpPr>
      <xdr:spPr>
        <a:xfrm>
          <a:off x="482600" y="787400"/>
          <a:ext cx="2400300" cy="50800"/>
        </a:xfrm>
        <a:prstGeom prst="roundRect">
          <a:avLst/>
        </a:prstGeom>
        <a:solidFill>
          <a:srgbClr val="12302A"/>
        </a:solidFill>
        <a:ln w="25400" cap="flat" cmpd="sng" algn="ctr">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absoluteAnchor>
  <xdr:absoluteAnchor>
    <xdr:pos x="685800" y="952500"/>
    <xdr:ext cx="1993900" cy="165100"/>
    <xdr:sp macro="" textlink="">
      <xdr:nvSpPr>
        <xdr:cNvPr id="8" name="KPI_TITLE_0">
          <a:extLst>
            <a:ext uri="{FF2B5EF4-FFF2-40B4-BE49-F238E27FC236}">
              <a16:creationId xmlns:a16="http://schemas.microsoft.com/office/drawing/2014/main" id="{1E0F28E1-7835-2FC8-EB25-793969C19E1C}"/>
            </a:ext>
          </a:extLst>
        </xdr:cNvPr>
        <xdr:cNvSpPr txBox="1"/>
      </xdr:nvSpPr>
      <xdr:spPr>
        <a:xfrm>
          <a:off x="685800" y="952500"/>
          <a:ext cx="1993900" cy="165100"/>
        </a:xfrm>
        <a:prstGeom prst="rect">
          <a:avLst/>
        </a:prstGeom>
        <a:noFill/>
        <a:ln>
          <a:noFill/>
        </a:ln>
      </xdr:spPr>
      <xdr:txBody>
        <a:bodyPr vertOverflow="overflow" vert="horz" wrap="square" rtlCol="0" anchor="t">
          <a:spAutoFit/>
        </a:bodyPr>
        <a:lstStyle/>
        <a:p>
          <a:pPr algn="l"/>
          <a:r>
            <a:rPr kumimoji="0" lang="en-US" sz="900" b="1" i="0" u="none" strike="noStrike" kern="0" cap="none" spc="0" normalizeH="0" baseline="0" noProof="0">
              <a:ln>
                <a:noFill/>
              </a:ln>
              <a:solidFill>
                <a:srgbClr val="AFCBBB"/>
              </a:solidFill>
              <a:effectLst/>
              <a:uLnTx/>
              <a:uFillTx/>
              <a:latin typeface="Segoe UI"/>
              <a:cs typeface="Segoe UI"/>
            </a:rPr>
            <a:t>TOTAL EMISSIONS</a:t>
          </a:r>
        </a:p>
      </xdr:txBody>
    </xdr:sp>
    <xdr:clientData/>
  </xdr:absoluteAnchor>
  <xdr:absoluteAnchor>
    <xdr:pos x="685800" y="1130300"/>
    <xdr:ext cx="1993900" cy="501740"/>
    <xdr:sp macro="" textlink="$M$84">
      <xdr:nvSpPr>
        <xdr:cNvPr id="9" name="KPI_VALUE_0">
          <a:extLst>
            <a:ext uri="{FF2B5EF4-FFF2-40B4-BE49-F238E27FC236}">
              <a16:creationId xmlns:a16="http://schemas.microsoft.com/office/drawing/2014/main" id="{CF83774B-56A8-0297-748F-A22325D41AC0}"/>
            </a:ext>
          </a:extLst>
        </xdr:cNvPr>
        <xdr:cNvSpPr txBox="1"/>
      </xdr:nvSpPr>
      <xdr:spPr>
        <a:xfrm>
          <a:off x="685800" y="1130300"/>
          <a:ext cx="1993900" cy="501740"/>
        </a:xfrm>
        <a:prstGeom prst="rect">
          <a:avLst/>
        </a:prstGeom>
        <a:noFill/>
        <a:ln>
          <a:noFill/>
        </a:ln>
      </xdr:spPr>
      <xdr:txBody>
        <a:bodyPr vertOverflow="overflow" vert="horz" wrap="square" rtlCol="0" anchor="t">
          <a:spAutoFit/>
        </a:bodyPr>
        <a:lstStyle/>
        <a:p>
          <a:pPr algn="l"/>
          <a:fld id="{687C9998-ED93-42FE-BE94-BE1C091CE1F9}" type="TxLink">
            <a:rPr kumimoji="0" lang="en-US" sz="2400" b="1" i="0" u="none" strike="noStrike" kern="0" cap="none" spc="0" normalizeH="0" baseline="0" noProof="0" smtClean="0">
              <a:ln>
                <a:noFill/>
              </a:ln>
              <a:solidFill>
                <a:srgbClr val="FFFFFF"/>
              </a:solidFill>
              <a:effectLst/>
              <a:uLnTx/>
              <a:uFillTx/>
              <a:latin typeface="Arial"/>
              <a:cs typeface="Arial"/>
            </a:rPr>
            <a:t>1,007</a:t>
          </a:fld>
          <a:endParaRPr kumimoji="0" lang="en-US" sz="2400" b="1" i="0" u="none" strike="noStrike" kern="0" cap="none" spc="0" normalizeH="0" baseline="0" noProof="0">
            <a:ln>
              <a:noFill/>
            </a:ln>
            <a:solidFill>
              <a:srgbClr val="FFFFFF"/>
            </a:solidFill>
            <a:effectLst/>
            <a:uLnTx/>
            <a:uFillTx/>
            <a:latin typeface="Segoe UI"/>
            <a:cs typeface="Segoe UI"/>
          </a:endParaRPr>
        </a:p>
      </xdr:txBody>
    </xdr:sp>
    <xdr:clientData/>
  </xdr:absoluteAnchor>
  <xdr:absoluteAnchor>
    <xdr:pos x="685800" y="1562100"/>
    <xdr:ext cx="1993900" cy="237309"/>
    <xdr:sp macro="" textlink="$P$82">
      <xdr:nvSpPr>
        <xdr:cNvPr id="10" name="KPI_SUB_0">
          <a:extLst>
            <a:ext uri="{FF2B5EF4-FFF2-40B4-BE49-F238E27FC236}">
              <a16:creationId xmlns:a16="http://schemas.microsoft.com/office/drawing/2014/main" id="{404369B3-B47F-4F9C-7F8E-BC2BB5C54C80}"/>
            </a:ext>
          </a:extLst>
        </xdr:cNvPr>
        <xdr:cNvSpPr txBox="1"/>
      </xdr:nvSpPr>
      <xdr:spPr>
        <a:xfrm>
          <a:off x="685800" y="1562100"/>
          <a:ext cx="1993900" cy="237309"/>
        </a:xfrm>
        <a:prstGeom prst="rect">
          <a:avLst/>
        </a:prstGeom>
        <a:noFill/>
        <a:ln>
          <a:noFill/>
        </a:ln>
      </xdr:spPr>
      <xdr:txBody>
        <a:bodyPr vertOverflow="overflow" vert="horz" wrap="square" rtlCol="0" anchor="t">
          <a:spAutoFit/>
        </a:bodyPr>
        <a:lstStyle/>
        <a:p>
          <a:pPr algn="l"/>
          <a:fld id="{EF9ED570-A93F-4B1E-9F6D-940BE2B39B63}" type="TxLink">
            <a:rPr kumimoji="0" lang="en-US" sz="850" b="1" i="0" u="none" strike="noStrike" kern="0" cap="none" spc="0" normalizeH="0" baseline="0" noProof="0">
              <a:ln>
                <a:noFill/>
              </a:ln>
              <a:solidFill>
                <a:srgbClr val="AFCBBB"/>
              </a:solidFill>
              <a:effectLst/>
              <a:uLnTx/>
              <a:uFillTx/>
              <a:latin typeface="Arial"/>
              <a:cs typeface="Arial"/>
            </a:rPr>
            <a:t>tCO₂e   |   Scope 1 + Scope 2</a:t>
          </a:fld>
          <a:endParaRPr kumimoji="0" lang="en-US" sz="850" b="0" i="0" u="none" strike="noStrike" kern="0" cap="none" spc="0" normalizeH="0" baseline="0" noProof="0">
            <a:ln>
              <a:noFill/>
            </a:ln>
            <a:solidFill>
              <a:srgbClr val="AFCBBB"/>
            </a:solidFill>
            <a:effectLst/>
            <a:uLnTx/>
            <a:uFillTx/>
            <a:latin typeface="Segoe UI"/>
            <a:cs typeface="Segoe UI"/>
          </a:endParaRPr>
        </a:p>
      </xdr:txBody>
    </xdr:sp>
    <xdr:clientData/>
  </xdr:absoluteAnchor>
  <xdr:absoluteAnchor>
    <xdr:pos x="8216900" y="787400"/>
    <xdr:ext cx="3060700" cy="990600"/>
    <xdr:sp macro="" textlink="">
      <xdr:nvSpPr>
        <xdr:cNvPr id="11" name="KPI_BG_3">
          <a:extLst>
            <a:ext uri="{FF2B5EF4-FFF2-40B4-BE49-F238E27FC236}">
              <a16:creationId xmlns:a16="http://schemas.microsoft.com/office/drawing/2014/main" id="{BC2AABB5-6FE7-475E-94D2-24966E6395B4}"/>
            </a:ext>
          </a:extLst>
        </xdr:cNvPr>
        <xdr:cNvSpPr/>
      </xdr:nvSpPr>
      <xdr:spPr>
        <a:xfrm>
          <a:off x="8216900" y="787400"/>
          <a:ext cx="3060700" cy="990600"/>
        </a:xfrm>
        <a:prstGeom prst="roundRect">
          <a:avLst/>
        </a:prstGeom>
        <a:solidFill>
          <a:srgbClr val="FFFFFF"/>
        </a:solidFill>
        <a:ln w="12700" cap="flat" cmpd="sng" algn="ctr">
          <a:solidFill>
            <a:srgbClr val="E5E7EB"/>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absoluteAnchor>
  <xdr:absoluteAnchor>
    <xdr:pos x="3060700" y="787400"/>
    <xdr:ext cx="2400300" cy="50800"/>
    <xdr:sp macro="" textlink="">
      <xdr:nvSpPr>
        <xdr:cNvPr id="12" name="KPI_ACCENT_1">
          <a:extLst>
            <a:ext uri="{FF2B5EF4-FFF2-40B4-BE49-F238E27FC236}">
              <a16:creationId xmlns:a16="http://schemas.microsoft.com/office/drawing/2014/main" id="{0A2366B7-9E64-488C-A8B5-60ED6AC01AD1}"/>
            </a:ext>
          </a:extLst>
        </xdr:cNvPr>
        <xdr:cNvSpPr/>
      </xdr:nvSpPr>
      <xdr:spPr>
        <a:xfrm>
          <a:off x="3060700" y="787400"/>
          <a:ext cx="2400300" cy="50800"/>
        </a:xfrm>
        <a:prstGeom prst="roundRect">
          <a:avLst/>
        </a:prstGeom>
        <a:solidFill>
          <a:srgbClr val="3D6B8C"/>
        </a:solidFill>
        <a:ln w="25400" cap="flat" cmpd="sng" algn="ctr">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absoluteAnchor>
  <xdr:absoluteAnchor>
    <xdr:pos x="3263900" y="952500"/>
    <xdr:ext cx="1993900" cy="165100"/>
    <xdr:sp macro="" textlink="">
      <xdr:nvSpPr>
        <xdr:cNvPr id="13" name="KPI_TITLE_1">
          <a:extLst>
            <a:ext uri="{FF2B5EF4-FFF2-40B4-BE49-F238E27FC236}">
              <a16:creationId xmlns:a16="http://schemas.microsoft.com/office/drawing/2014/main" id="{4F2BE90E-5350-571B-2981-451E811C3A39}"/>
            </a:ext>
          </a:extLst>
        </xdr:cNvPr>
        <xdr:cNvSpPr txBox="1"/>
      </xdr:nvSpPr>
      <xdr:spPr>
        <a:xfrm>
          <a:off x="3263900" y="952500"/>
          <a:ext cx="1993900" cy="165100"/>
        </a:xfrm>
        <a:prstGeom prst="rect">
          <a:avLst/>
        </a:prstGeom>
        <a:noFill/>
        <a:ln>
          <a:noFill/>
        </a:ln>
      </xdr:spPr>
      <xdr:txBody>
        <a:bodyPr vertOverflow="overflow" vert="horz" wrap="square" rtlCol="0" anchor="t">
          <a:spAutoFit/>
        </a:bodyPr>
        <a:lstStyle/>
        <a:p>
          <a:pPr algn="l"/>
          <a:r>
            <a:rPr kumimoji="0" lang="en-US" sz="900" b="1" i="0" u="none" strike="noStrike" kern="0" cap="none" spc="0" normalizeH="0" baseline="0" noProof="0">
              <a:ln>
                <a:noFill/>
              </a:ln>
              <a:solidFill>
                <a:srgbClr val="3D6B8C"/>
              </a:solidFill>
              <a:effectLst/>
              <a:uLnTx/>
              <a:uFillTx/>
              <a:latin typeface="Segoe UI"/>
              <a:cs typeface="Segoe UI"/>
            </a:rPr>
            <a:t>SCOPE 1  ·  DIRECT</a:t>
          </a:r>
        </a:p>
      </xdr:txBody>
    </xdr:sp>
    <xdr:clientData/>
  </xdr:absoluteAnchor>
  <xdr:absoluteAnchor>
    <xdr:pos x="3263900" y="1130300"/>
    <xdr:ext cx="1993900" cy="501740"/>
    <xdr:sp macro="" textlink="$M$82">
      <xdr:nvSpPr>
        <xdr:cNvPr id="14" name="KPI_VALUE_1">
          <a:extLst>
            <a:ext uri="{FF2B5EF4-FFF2-40B4-BE49-F238E27FC236}">
              <a16:creationId xmlns:a16="http://schemas.microsoft.com/office/drawing/2014/main" id="{CAEC1169-D4BB-D2C9-3D1A-C4A8370FB4D4}"/>
            </a:ext>
          </a:extLst>
        </xdr:cNvPr>
        <xdr:cNvSpPr txBox="1"/>
      </xdr:nvSpPr>
      <xdr:spPr>
        <a:xfrm>
          <a:off x="3263900" y="1130300"/>
          <a:ext cx="1993900" cy="501740"/>
        </a:xfrm>
        <a:prstGeom prst="rect">
          <a:avLst/>
        </a:prstGeom>
        <a:noFill/>
        <a:ln>
          <a:noFill/>
        </a:ln>
      </xdr:spPr>
      <xdr:txBody>
        <a:bodyPr vertOverflow="overflow" vert="horz" wrap="square" rtlCol="0" anchor="t">
          <a:spAutoFit/>
        </a:bodyPr>
        <a:lstStyle/>
        <a:p>
          <a:pPr algn="l"/>
          <a:fld id="{74511459-FA95-497E-9BEF-3B9FC564F36C}" type="TxLink">
            <a:rPr kumimoji="0" lang="en-US" sz="2400" b="1" i="0" u="none" strike="noStrike" kern="0" cap="none" spc="0" normalizeH="0" baseline="0" noProof="0" smtClean="0">
              <a:ln>
                <a:noFill/>
              </a:ln>
              <a:solidFill>
                <a:srgbClr val="1B4332"/>
              </a:solidFill>
              <a:effectLst/>
              <a:uLnTx/>
              <a:uFillTx/>
              <a:latin typeface="Segoe UI"/>
              <a:cs typeface="Segoe UI"/>
            </a:rPr>
            <a:pPr algn="l"/>
            <a:t>680</a:t>
          </a:fld>
          <a:endParaRPr kumimoji="0" lang="en-US" sz="2400" b="1" i="0" u="none" strike="noStrike" kern="0" cap="none" spc="0" normalizeH="0" baseline="0" noProof="0">
            <a:ln>
              <a:noFill/>
            </a:ln>
            <a:solidFill>
              <a:srgbClr val="22312A"/>
            </a:solidFill>
            <a:effectLst/>
            <a:uLnTx/>
            <a:uFillTx/>
            <a:latin typeface="Segoe UI"/>
            <a:cs typeface="Segoe UI"/>
          </a:endParaRPr>
        </a:p>
      </xdr:txBody>
    </xdr:sp>
    <xdr:clientData/>
  </xdr:absoluteAnchor>
  <xdr:absoluteAnchor>
    <xdr:pos x="3263900" y="1562100"/>
    <xdr:ext cx="1993900" cy="237309"/>
    <xdr:sp macro="" textlink="$P$83">
      <xdr:nvSpPr>
        <xdr:cNvPr id="15" name="KPI_SUB_1">
          <a:extLst>
            <a:ext uri="{FF2B5EF4-FFF2-40B4-BE49-F238E27FC236}">
              <a16:creationId xmlns:a16="http://schemas.microsoft.com/office/drawing/2014/main" id="{EA0302CE-AD5A-8C4D-9D64-3EF56876F78F}"/>
            </a:ext>
          </a:extLst>
        </xdr:cNvPr>
        <xdr:cNvSpPr txBox="1"/>
      </xdr:nvSpPr>
      <xdr:spPr>
        <a:xfrm>
          <a:off x="3263900" y="1562100"/>
          <a:ext cx="1993900" cy="237309"/>
        </a:xfrm>
        <a:prstGeom prst="rect">
          <a:avLst/>
        </a:prstGeom>
        <a:noFill/>
        <a:ln>
          <a:noFill/>
        </a:ln>
      </xdr:spPr>
      <xdr:txBody>
        <a:bodyPr vertOverflow="overflow" vert="horz" wrap="square" rtlCol="0" anchor="t">
          <a:spAutoFit/>
        </a:bodyPr>
        <a:lstStyle/>
        <a:p>
          <a:pPr algn="l"/>
          <a:fld id="{A779D38A-3CF0-4334-966A-2F6AF5647E5F}" type="TxLink">
            <a:rPr kumimoji="0" lang="en-US" sz="850" b="1" i="0" u="none" strike="noStrike" kern="0" cap="none" spc="0" normalizeH="0" baseline="0" noProof="0">
              <a:ln>
                <a:noFill/>
              </a:ln>
              <a:solidFill>
                <a:srgbClr val="6E7F76"/>
              </a:solidFill>
              <a:effectLst/>
              <a:uLnTx/>
              <a:uFillTx/>
              <a:latin typeface="Arial"/>
              <a:cs typeface="Arial"/>
            </a:rPr>
            <a:t>tCO₂e   |   67.5% of total</a:t>
          </a:fld>
          <a:endParaRPr kumimoji="0" lang="en-US" sz="850" b="0" i="0" u="none" strike="noStrike" kern="0" cap="none" spc="0" normalizeH="0" baseline="0" noProof="0">
            <a:ln>
              <a:noFill/>
            </a:ln>
            <a:solidFill>
              <a:srgbClr val="6E7F76"/>
            </a:solidFill>
            <a:effectLst/>
            <a:uLnTx/>
            <a:uFillTx/>
            <a:latin typeface="Segoe UI"/>
            <a:cs typeface="Segoe UI"/>
          </a:endParaRPr>
        </a:p>
      </xdr:txBody>
    </xdr:sp>
    <xdr:clientData/>
  </xdr:absoluteAnchor>
  <xdr:absoluteAnchor>
    <xdr:pos x="5638800" y="787400"/>
    <xdr:ext cx="2400300" cy="50800"/>
    <xdr:sp macro="" textlink="">
      <xdr:nvSpPr>
        <xdr:cNvPr id="17" name="KPI_ACCENT_2">
          <a:extLst>
            <a:ext uri="{FF2B5EF4-FFF2-40B4-BE49-F238E27FC236}">
              <a16:creationId xmlns:a16="http://schemas.microsoft.com/office/drawing/2014/main" id="{B969971B-4DBB-4E27-8021-6419DF2ACEE3}"/>
            </a:ext>
          </a:extLst>
        </xdr:cNvPr>
        <xdr:cNvSpPr/>
      </xdr:nvSpPr>
      <xdr:spPr>
        <a:xfrm>
          <a:off x="5638800" y="787400"/>
          <a:ext cx="2400300" cy="50800"/>
        </a:xfrm>
        <a:prstGeom prst="roundRect">
          <a:avLst/>
        </a:prstGeom>
        <a:solidFill>
          <a:srgbClr val="2D6A4F"/>
        </a:solidFill>
        <a:ln w="25400" cap="flat" cmpd="sng" algn="ctr">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absoluteAnchor>
  <xdr:absoluteAnchor>
    <xdr:pos x="5842000" y="952500"/>
    <xdr:ext cx="1993900" cy="165100"/>
    <xdr:sp macro="" textlink="">
      <xdr:nvSpPr>
        <xdr:cNvPr id="18" name="KPI_TITLE_2">
          <a:extLst>
            <a:ext uri="{FF2B5EF4-FFF2-40B4-BE49-F238E27FC236}">
              <a16:creationId xmlns:a16="http://schemas.microsoft.com/office/drawing/2014/main" id="{625B79E2-7CB2-4A87-784A-48EBEA0865FF}"/>
            </a:ext>
          </a:extLst>
        </xdr:cNvPr>
        <xdr:cNvSpPr txBox="1"/>
      </xdr:nvSpPr>
      <xdr:spPr>
        <a:xfrm>
          <a:off x="5842000" y="952500"/>
          <a:ext cx="1993900" cy="165100"/>
        </a:xfrm>
        <a:prstGeom prst="rect">
          <a:avLst/>
        </a:prstGeom>
        <a:noFill/>
        <a:ln>
          <a:noFill/>
        </a:ln>
      </xdr:spPr>
      <xdr:txBody>
        <a:bodyPr vertOverflow="overflow" vert="horz" wrap="square" rtlCol="0" anchor="t">
          <a:spAutoFit/>
        </a:bodyPr>
        <a:lstStyle/>
        <a:p>
          <a:pPr algn="l"/>
          <a:r>
            <a:rPr kumimoji="0" lang="en-US" sz="900" b="1" i="0" u="none" strike="noStrike" kern="0" cap="none" spc="0" normalizeH="0" baseline="0" noProof="0">
              <a:ln>
                <a:noFill/>
              </a:ln>
              <a:solidFill>
                <a:srgbClr val="2D6A4F"/>
              </a:solidFill>
              <a:effectLst/>
              <a:uLnTx/>
              <a:uFillTx/>
              <a:latin typeface="Segoe UI"/>
              <a:cs typeface="Segoe UI"/>
            </a:rPr>
            <a:t>SCOPE 2  ·  ELECTRICITY</a:t>
          </a:r>
        </a:p>
      </xdr:txBody>
    </xdr:sp>
    <xdr:clientData/>
  </xdr:absoluteAnchor>
  <xdr:absoluteAnchor>
    <xdr:pos x="5842000" y="1130300"/>
    <xdr:ext cx="1993900" cy="501740"/>
    <xdr:sp macro="" textlink="$M$83">
      <xdr:nvSpPr>
        <xdr:cNvPr id="19" name="KPI_VALUE_2">
          <a:extLst>
            <a:ext uri="{FF2B5EF4-FFF2-40B4-BE49-F238E27FC236}">
              <a16:creationId xmlns:a16="http://schemas.microsoft.com/office/drawing/2014/main" id="{F966A748-95E4-EC7E-2BFB-7088E2BA8A7E}"/>
            </a:ext>
          </a:extLst>
        </xdr:cNvPr>
        <xdr:cNvSpPr txBox="1"/>
      </xdr:nvSpPr>
      <xdr:spPr>
        <a:xfrm>
          <a:off x="5842000" y="1130300"/>
          <a:ext cx="1993900" cy="501740"/>
        </a:xfrm>
        <a:prstGeom prst="rect">
          <a:avLst/>
        </a:prstGeom>
        <a:noFill/>
        <a:ln>
          <a:noFill/>
        </a:ln>
      </xdr:spPr>
      <xdr:txBody>
        <a:bodyPr vertOverflow="overflow" vert="horz" wrap="square" rtlCol="0" anchor="t">
          <a:spAutoFit/>
        </a:bodyPr>
        <a:lstStyle/>
        <a:p>
          <a:pPr algn="l"/>
          <a:fld id="{FBA9756F-092B-4E3B-A2ED-433E87E507C5}" type="TxLink">
            <a:rPr kumimoji="0" lang="en-US" sz="2400" b="1" i="0" u="none" strike="noStrike" kern="0" cap="none" spc="0" normalizeH="0" baseline="0" noProof="0" smtClean="0">
              <a:ln>
                <a:noFill/>
              </a:ln>
              <a:solidFill>
                <a:srgbClr val="1B4332"/>
              </a:solidFill>
              <a:effectLst/>
              <a:uLnTx/>
              <a:uFillTx/>
              <a:latin typeface="Arial"/>
              <a:cs typeface="Arial"/>
            </a:rPr>
            <a:pPr algn="l"/>
            <a:t>327</a:t>
          </a:fld>
          <a:endParaRPr kumimoji="0" lang="en-US" sz="2400" b="1" i="0" u="none" strike="noStrike" kern="0" cap="none" spc="0" normalizeH="0" baseline="0" noProof="0">
            <a:ln>
              <a:noFill/>
            </a:ln>
            <a:solidFill>
              <a:srgbClr val="22312A"/>
            </a:solidFill>
            <a:effectLst/>
            <a:uLnTx/>
            <a:uFillTx/>
            <a:latin typeface="Segoe UI"/>
            <a:cs typeface="Segoe UI"/>
          </a:endParaRPr>
        </a:p>
      </xdr:txBody>
    </xdr:sp>
    <xdr:clientData/>
  </xdr:absoluteAnchor>
  <xdr:absoluteAnchor>
    <xdr:pos x="5842000" y="1562100"/>
    <xdr:ext cx="1993900" cy="237309"/>
    <xdr:sp macro="" textlink="$P$84">
      <xdr:nvSpPr>
        <xdr:cNvPr id="20" name="KPI_SUB_2">
          <a:extLst>
            <a:ext uri="{FF2B5EF4-FFF2-40B4-BE49-F238E27FC236}">
              <a16:creationId xmlns:a16="http://schemas.microsoft.com/office/drawing/2014/main" id="{092C4A98-5D41-D29F-8E0D-7B9D214F9784}"/>
            </a:ext>
          </a:extLst>
        </xdr:cNvPr>
        <xdr:cNvSpPr txBox="1"/>
      </xdr:nvSpPr>
      <xdr:spPr>
        <a:xfrm>
          <a:off x="5842000" y="1562100"/>
          <a:ext cx="1993900" cy="237309"/>
        </a:xfrm>
        <a:prstGeom prst="rect">
          <a:avLst/>
        </a:prstGeom>
        <a:noFill/>
        <a:ln>
          <a:noFill/>
        </a:ln>
      </xdr:spPr>
      <xdr:txBody>
        <a:bodyPr vertOverflow="overflow" vert="horz" wrap="square" rtlCol="0" anchor="t">
          <a:spAutoFit/>
        </a:bodyPr>
        <a:lstStyle/>
        <a:p>
          <a:pPr algn="l"/>
          <a:fld id="{32016F91-0C10-472D-9340-6D1E89991BB7}" type="TxLink">
            <a:rPr kumimoji="0" lang="en-US" sz="850" b="1" i="0" u="none" strike="noStrike" kern="0" cap="none" spc="0" normalizeH="0" baseline="0" noProof="0">
              <a:ln>
                <a:noFill/>
              </a:ln>
              <a:solidFill>
                <a:srgbClr val="6E7F76"/>
              </a:solidFill>
              <a:effectLst/>
              <a:uLnTx/>
              <a:uFillTx/>
              <a:latin typeface="Arial"/>
              <a:cs typeface="Arial"/>
            </a:rPr>
            <a:t>tCO₂e   |   32.5% of total</a:t>
          </a:fld>
          <a:endParaRPr kumimoji="0" lang="en-US" sz="850" b="0" i="0" u="none" strike="noStrike" kern="0" cap="none" spc="0" normalizeH="0" baseline="0" noProof="0">
            <a:ln>
              <a:noFill/>
            </a:ln>
            <a:solidFill>
              <a:srgbClr val="6E7F76"/>
            </a:solidFill>
            <a:effectLst/>
            <a:uLnTx/>
            <a:uFillTx/>
            <a:latin typeface="Segoe UI"/>
            <a:cs typeface="Segoe UI"/>
          </a:endParaRPr>
        </a:p>
      </xdr:txBody>
    </xdr:sp>
    <xdr:clientData/>
  </xdr:absoluteAnchor>
  <xdr:absoluteAnchor>
    <xdr:pos x="8216900" y="787400"/>
    <xdr:ext cx="3060700" cy="50800"/>
    <xdr:sp macro="" textlink="">
      <xdr:nvSpPr>
        <xdr:cNvPr id="22" name="KPI_ACCENT_3">
          <a:extLst>
            <a:ext uri="{FF2B5EF4-FFF2-40B4-BE49-F238E27FC236}">
              <a16:creationId xmlns:a16="http://schemas.microsoft.com/office/drawing/2014/main" id="{A2088B35-0458-4A67-A715-5286830AD336}"/>
            </a:ext>
          </a:extLst>
        </xdr:cNvPr>
        <xdr:cNvSpPr/>
      </xdr:nvSpPr>
      <xdr:spPr>
        <a:xfrm>
          <a:off x="8216900" y="787400"/>
          <a:ext cx="3060700" cy="50800"/>
        </a:xfrm>
        <a:prstGeom prst="roundRect">
          <a:avLst/>
        </a:prstGeom>
        <a:solidFill>
          <a:srgbClr val="CC7A3D"/>
        </a:solidFill>
        <a:ln w="25400" cap="flat" cmpd="sng" algn="ctr">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absoluteAnchor>
  <xdr:absoluteAnchor>
    <xdr:pos x="8420100" y="952500"/>
    <xdr:ext cx="2654300" cy="165100"/>
    <xdr:sp macro="" textlink="">
      <xdr:nvSpPr>
        <xdr:cNvPr id="23" name="KPI_TITLE_3">
          <a:extLst>
            <a:ext uri="{FF2B5EF4-FFF2-40B4-BE49-F238E27FC236}">
              <a16:creationId xmlns:a16="http://schemas.microsoft.com/office/drawing/2014/main" id="{2640EC89-7484-3F11-2518-65B45E68AFDD}"/>
            </a:ext>
          </a:extLst>
        </xdr:cNvPr>
        <xdr:cNvSpPr txBox="1"/>
      </xdr:nvSpPr>
      <xdr:spPr>
        <a:xfrm>
          <a:off x="8420100" y="952500"/>
          <a:ext cx="2654300" cy="165100"/>
        </a:xfrm>
        <a:prstGeom prst="rect">
          <a:avLst/>
        </a:prstGeom>
        <a:noFill/>
        <a:ln>
          <a:noFill/>
        </a:ln>
      </xdr:spPr>
      <xdr:txBody>
        <a:bodyPr vertOverflow="overflow" vert="horz" wrap="square" rtlCol="0" anchor="t">
          <a:spAutoFit/>
        </a:bodyPr>
        <a:lstStyle/>
        <a:p>
          <a:pPr algn="l"/>
          <a:r>
            <a:rPr kumimoji="0" lang="en-US" sz="900" b="1" i="0" u="none" strike="noStrike" kern="0" cap="none" spc="0" normalizeH="0" baseline="0" noProof="0">
              <a:ln>
                <a:noFill/>
              </a:ln>
              <a:solidFill>
                <a:srgbClr val="CC7A3D"/>
              </a:solidFill>
              <a:effectLst/>
              <a:uLnTx/>
              <a:uFillTx/>
              <a:latin typeface="Segoe UI"/>
              <a:cs typeface="Segoe UI"/>
            </a:rPr>
            <a:t>LARGEST EMISSION DRIVER</a:t>
          </a:r>
        </a:p>
      </xdr:txBody>
    </xdr:sp>
    <xdr:clientData/>
  </xdr:absoluteAnchor>
  <xdr:absoluteAnchor>
    <xdr:pos x="8420100" y="1130300"/>
    <xdr:ext cx="2654300" cy="433452"/>
    <xdr:sp macro="" textlink="$M$87">
      <xdr:nvSpPr>
        <xdr:cNvPr id="24" name="KPI_VALUE_3">
          <a:extLst>
            <a:ext uri="{FF2B5EF4-FFF2-40B4-BE49-F238E27FC236}">
              <a16:creationId xmlns:a16="http://schemas.microsoft.com/office/drawing/2014/main" id="{93880549-9F26-C122-6117-E4E2772F899E}"/>
            </a:ext>
          </a:extLst>
        </xdr:cNvPr>
        <xdr:cNvSpPr txBox="1"/>
      </xdr:nvSpPr>
      <xdr:spPr>
        <a:xfrm>
          <a:off x="8420100" y="1130300"/>
          <a:ext cx="2654300" cy="433452"/>
        </a:xfrm>
        <a:prstGeom prst="rect">
          <a:avLst/>
        </a:prstGeom>
        <a:noFill/>
        <a:ln>
          <a:noFill/>
        </a:ln>
      </xdr:spPr>
      <xdr:txBody>
        <a:bodyPr vertOverflow="overflow" vert="horz" wrap="square" rtlCol="0" anchor="t">
          <a:spAutoFit/>
        </a:bodyPr>
        <a:lstStyle/>
        <a:p>
          <a:pPr algn="l"/>
          <a:r>
            <a:rPr kumimoji="0" lang="en-US" sz="2000" b="1" i="0" u="none" strike="noStrike" kern="0" cap="none" spc="0" normalizeH="0" baseline="0" noProof="0">
              <a:ln>
                <a:noFill/>
              </a:ln>
              <a:solidFill>
                <a:srgbClr val="1B4332"/>
              </a:solidFill>
              <a:effectLst/>
              <a:uLnTx/>
              <a:uFillTx/>
              <a:latin typeface="Segoe UI"/>
              <a:cs typeface="Segoe UI"/>
            </a:rPr>
            <a:t>Natural gas</a:t>
          </a:r>
          <a:endParaRPr kumimoji="0" lang="en-US" sz="2000" b="1" i="0" u="none" strike="noStrike" kern="0" cap="none" spc="0" normalizeH="0" baseline="0" noProof="0">
            <a:ln>
              <a:noFill/>
            </a:ln>
            <a:solidFill>
              <a:srgbClr val="22312A"/>
            </a:solidFill>
            <a:effectLst/>
            <a:uLnTx/>
            <a:uFillTx/>
            <a:latin typeface="Segoe UI"/>
            <a:cs typeface="Segoe UI"/>
          </a:endParaRPr>
        </a:p>
      </xdr:txBody>
    </xdr:sp>
    <xdr:clientData/>
  </xdr:absoluteAnchor>
  <xdr:absoluteAnchor>
    <xdr:pos x="8420100" y="1562100"/>
    <xdr:ext cx="2654300" cy="237309"/>
    <xdr:sp macro="" textlink="$P$85">
      <xdr:nvSpPr>
        <xdr:cNvPr id="25" name="KPI_SUB_3">
          <a:extLst>
            <a:ext uri="{FF2B5EF4-FFF2-40B4-BE49-F238E27FC236}">
              <a16:creationId xmlns:a16="http://schemas.microsoft.com/office/drawing/2014/main" id="{25ED1153-2305-5451-5B51-83824B5DB43C}"/>
            </a:ext>
          </a:extLst>
        </xdr:cNvPr>
        <xdr:cNvSpPr txBox="1"/>
      </xdr:nvSpPr>
      <xdr:spPr>
        <a:xfrm>
          <a:off x="8420100" y="1562100"/>
          <a:ext cx="2654300" cy="237309"/>
        </a:xfrm>
        <a:prstGeom prst="rect">
          <a:avLst/>
        </a:prstGeom>
        <a:noFill/>
        <a:ln>
          <a:noFill/>
        </a:ln>
      </xdr:spPr>
      <xdr:txBody>
        <a:bodyPr vertOverflow="overflow" vert="horz" wrap="square" rtlCol="0" anchor="t">
          <a:spAutoFit/>
        </a:bodyPr>
        <a:lstStyle/>
        <a:p>
          <a:pPr algn="l"/>
          <a:fld id="{BC00107E-4E0B-4AD8-AC8D-3162DCDA12F6}" type="TxLink">
            <a:rPr kumimoji="0" lang="en-US" sz="850" b="1" i="0" u="none" strike="noStrike" kern="0" cap="none" spc="0" normalizeH="0" baseline="0" noProof="0">
              <a:ln>
                <a:noFill/>
              </a:ln>
              <a:solidFill>
                <a:srgbClr val="6E7F76"/>
              </a:solidFill>
              <a:effectLst/>
              <a:uLnTx/>
              <a:uFillTx/>
              <a:latin typeface="Arial"/>
              <a:cs typeface="Arial"/>
            </a:rPr>
            <a:t>463 tCO₂e   |   46% of total</a:t>
          </a:fld>
          <a:endParaRPr kumimoji="0" lang="en-US" sz="850" b="0" i="0" u="none" strike="noStrike" kern="0" cap="none" spc="0" normalizeH="0" baseline="0" noProof="0">
            <a:ln>
              <a:noFill/>
            </a:ln>
            <a:solidFill>
              <a:srgbClr val="6E7F76"/>
            </a:solidFill>
            <a:effectLst/>
            <a:uLnTx/>
            <a:uFillTx/>
            <a:latin typeface="Segoe UI"/>
            <a:cs typeface="Segoe UI"/>
          </a:endParaRPr>
        </a:p>
      </xdr:txBody>
    </xdr:sp>
    <xdr:clientData/>
  </xdr:absoluteAnchor>
  <xdr:oneCellAnchor>
    <xdr:from>
      <xdr:col>27</xdr:col>
      <xdr:colOff>49335</xdr:colOff>
      <xdr:row>13</xdr:row>
      <xdr:rowOff>137745</xdr:rowOff>
    </xdr:from>
    <xdr:ext cx="5334000" cy="254000"/>
    <xdr:sp macro="" textlink="">
      <xdr:nvSpPr>
        <xdr:cNvPr id="31" name="TextBox 30">
          <a:extLst>
            <a:ext uri="{FF2B5EF4-FFF2-40B4-BE49-F238E27FC236}">
              <a16:creationId xmlns:a16="http://schemas.microsoft.com/office/drawing/2014/main" id="{5C0FD69E-3998-C96A-017E-0918DDBF70F6}"/>
            </a:ext>
          </a:extLst>
        </xdr:cNvPr>
        <xdr:cNvSpPr txBox="1"/>
      </xdr:nvSpPr>
      <xdr:spPr>
        <a:xfrm>
          <a:off x="8779205" y="1885375"/>
          <a:ext cx="5334000" cy="254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0" lang="en-US" sz="900" b="1" i="0" u="none" strike="noStrike" kern="0" cap="none" spc="0" normalizeH="0" baseline="0" noProof="0">
              <a:ln>
                <a:noFill/>
              </a:ln>
              <a:solidFill>
                <a:srgbClr val="000000"/>
              </a:solidFill>
              <a:effectLst/>
              <a:uLnTx/>
              <a:uFillTx/>
              <a:latin typeface="Segoe UI"/>
              <a:cs typeface="Segoe UI"/>
            </a:rPr>
            <a:t>Total emissions by facility (tCO₂e)</a:t>
          </a:r>
        </a:p>
      </xdr:txBody>
    </xdr:sp>
    <xdr:clientData/>
  </xdr:oneCellAnchor>
  <xdr:oneCellAnchor>
    <xdr:from>
      <xdr:col>2</xdr:col>
      <xdr:colOff>116275</xdr:colOff>
      <xdr:row>13</xdr:row>
      <xdr:rowOff>137745</xdr:rowOff>
    </xdr:from>
    <xdr:ext cx="5334000" cy="254000"/>
    <xdr:sp macro="" textlink="">
      <xdr:nvSpPr>
        <xdr:cNvPr id="32" name="TextBox 31">
          <a:extLst>
            <a:ext uri="{FF2B5EF4-FFF2-40B4-BE49-F238E27FC236}">
              <a16:creationId xmlns:a16="http://schemas.microsoft.com/office/drawing/2014/main" id="{D3FEF017-67D3-4116-B158-8E5537751EA6}"/>
            </a:ext>
          </a:extLst>
        </xdr:cNvPr>
        <xdr:cNvSpPr txBox="1"/>
      </xdr:nvSpPr>
      <xdr:spPr>
        <a:xfrm>
          <a:off x="696058" y="1885375"/>
          <a:ext cx="5334000" cy="254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0" lang="en-US" sz="900" b="1" i="0" u="none" strike="noStrike" kern="0" cap="none" spc="0" normalizeH="0" baseline="0" noProof="0">
              <a:ln>
                <a:noFill/>
              </a:ln>
              <a:solidFill>
                <a:srgbClr val="000000"/>
              </a:solidFill>
              <a:uLnTx/>
              <a:uFillTx/>
              <a:latin typeface="Segoe UI"/>
              <a:cs typeface="Segoe UI"/>
            </a:rPr>
            <a:t>Emissions Trend by Month </a:t>
          </a:r>
          <a:r>
            <a:rPr kumimoji="0" lang="en-US" sz="900" b="1" i="0" u="none" strike="noStrike" kern="0" cap="none" spc="0" normalizeH="0" baseline="0" noProof="0">
              <a:ln>
                <a:noFill/>
              </a:ln>
              <a:solidFill>
                <a:srgbClr val="000000"/>
              </a:solidFill>
              <a:effectLst/>
              <a:uLnTx/>
              <a:uFillTx/>
              <a:latin typeface="Segoe UI"/>
              <a:ea typeface="+mn-ea"/>
              <a:cs typeface="Segoe UI"/>
            </a:rPr>
            <a:t>(tCO₂e)</a:t>
          </a:r>
          <a:r>
            <a:rPr kumimoji="0" lang="en-US" sz="900" b="1" i="0" u="none" strike="noStrike" kern="0" cap="none" spc="0" normalizeH="0" baseline="0" noProof="0">
              <a:ln>
                <a:noFill/>
              </a:ln>
              <a:solidFill>
                <a:srgbClr val="000000"/>
              </a:solidFill>
              <a:uLnTx/>
              <a:uFillTx/>
              <a:latin typeface="Segoe UI"/>
              <a:cs typeface="Segoe UI"/>
            </a:rPr>
            <a:t>  </a:t>
          </a:r>
        </a:p>
      </xdr:txBody>
    </xdr:sp>
    <xdr:clientData/>
  </xdr:oneCellAnchor>
  <xdr:twoCellAnchor>
    <xdr:from>
      <xdr:col>31</xdr:col>
      <xdr:colOff>74544</xdr:colOff>
      <xdr:row>33</xdr:row>
      <xdr:rowOff>1655</xdr:rowOff>
    </xdr:from>
    <xdr:to>
      <xdr:col>52</xdr:col>
      <xdr:colOff>463826</xdr:colOff>
      <xdr:row>51</xdr:row>
      <xdr:rowOff>67916</xdr:rowOff>
    </xdr:to>
    <xdr:sp macro="" textlink="">
      <xdr:nvSpPr>
        <xdr:cNvPr id="34" name="ChartCard_BG_0">
          <a:extLst>
            <a:ext uri="{FF2B5EF4-FFF2-40B4-BE49-F238E27FC236}">
              <a16:creationId xmlns:a16="http://schemas.microsoft.com/office/drawing/2014/main" id="{987F0F21-13A7-4B56-9B74-547308CCF12B}"/>
            </a:ext>
          </a:extLst>
        </xdr:cNvPr>
        <xdr:cNvSpPr/>
      </xdr:nvSpPr>
      <xdr:spPr>
        <a:xfrm>
          <a:off x="9533283" y="4979503"/>
          <a:ext cx="4903304" cy="3064565"/>
        </a:xfrm>
        <a:prstGeom prst="roundRect">
          <a:avLst/>
        </a:prstGeom>
        <a:solidFill>
          <a:srgbClr val="FFFFFF"/>
        </a:solidFill>
        <a:ln w="12700" cap="flat" cmpd="sng" algn="ctr">
          <a:solidFill>
            <a:schemeClr val="bg1"/>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lang="en-PH"/>
            <a:t>z</a:t>
          </a:r>
        </a:p>
      </xdr:txBody>
    </xdr:sp>
    <xdr:clientData/>
  </xdr:twoCellAnchor>
  <xdr:oneCellAnchor>
    <xdr:from>
      <xdr:col>32</xdr:col>
      <xdr:colOff>174254</xdr:colOff>
      <xdr:row>31</xdr:row>
      <xdr:rowOff>131889</xdr:rowOff>
    </xdr:from>
    <xdr:ext cx="5334000" cy="254000"/>
    <xdr:sp macro="" textlink="">
      <xdr:nvSpPr>
        <xdr:cNvPr id="36" name="TextBox 35">
          <a:extLst>
            <a:ext uri="{FF2B5EF4-FFF2-40B4-BE49-F238E27FC236}">
              <a16:creationId xmlns:a16="http://schemas.microsoft.com/office/drawing/2014/main" id="{C99C6C2A-53C4-41AD-8288-7C94E2824103}"/>
            </a:ext>
          </a:extLst>
        </xdr:cNvPr>
        <xdr:cNvSpPr txBox="1"/>
      </xdr:nvSpPr>
      <xdr:spPr>
        <a:xfrm>
          <a:off x="9815211" y="4695606"/>
          <a:ext cx="5334000" cy="254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0" lang="en-US" sz="900" b="1" i="0" u="none" strike="noStrike" kern="0" cap="none" spc="0" normalizeH="0" baseline="0" noProof="0">
              <a:ln>
                <a:noFill/>
              </a:ln>
              <a:solidFill>
                <a:srgbClr val="000000"/>
              </a:solidFill>
              <a:effectLst/>
              <a:uLnTx/>
              <a:uFillTx/>
              <a:latin typeface="Segoe UI"/>
              <a:cs typeface="Segoe UI"/>
            </a:rPr>
            <a:t>Scope 1 emissions by source (tCO₂e)</a:t>
          </a:r>
        </a:p>
      </xdr:txBody>
    </xdr:sp>
    <xdr:clientData/>
  </xdr:oneCellAnchor>
  <xdr:twoCellAnchor>
    <xdr:from>
      <xdr:col>33</xdr:col>
      <xdr:colOff>71320</xdr:colOff>
      <xdr:row>35</xdr:row>
      <xdr:rowOff>24136</xdr:rowOff>
    </xdr:from>
    <xdr:to>
      <xdr:col>51</xdr:col>
      <xdr:colOff>536354</xdr:colOff>
      <xdr:row>49</xdr:row>
      <xdr:rowOff>110871</xdr:rowOff>
    </xdr:to>
    <xdr:graphicFrame macro="">
      <xdr:nvGraphicFramePr>
        <xdr:cNvPr id="3" name="Chart_Scope1Source">
          <a:extLst>
            <a:ext uri="{FF2B5EF4-FFF2-40B4-BE49-F238E27FC236}">
              <a16:creationId xmlns:a16="http://schemas.microsoft.com/office/drawing/2014/main" id="{A19A0A3B-D678-0B34-8785-56531D29EF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41</xdr:col>
      <xdr:colOff>174487</xdr:colOff>
      <xdr:row>5</xdr:row>
      <xdr:rowOff>91661</xdr:rowOff>
    </xdr:from>
    <xdr:to>
      <xdr:col>52</xdr:col>
      <xdr:colOff>543339</xdr:colOff>
      <xdr:row>13</xdr:row>
      <xdr:rowOff>30370</xdr:rowOff>
    </xdr:to>
    <xdr:sp macro="" textlink="">
      <xdr:nvSpPr>
        <xdr:cNvPr id="48" name="KPI_BG_4">
          <a:extLst>
            <a:ext uri="{FF2B5EF4-FFF2-40B4-BE49-F238E27FC236}">
              <a16:creationId xmlns:a16="http://schemas.microsoft.com/office/drawing/2014/main" id="{7070B150-3154-4384-AE5F-37847657B993}"/>
            </a:ext>
          </a:extLst>
        </xdr:cNvPr>
        <xdr:cNvSpPr/>
      </xdr:nvSpPr>
      <xdr:spPr>
        <a:xfrm>
          <a:off x="11455400" y="787400"/>
          <a:ext cx="3060700" cy="990600"/>
        </a:xfrm>
        <a:prstGeom prst="roundRect">
          <a:avLst/>
        </a:prstGeom>
        <a:solidFill>
          <a:srgbClr val="FFFFFF"/>
        </a:solidFill>
        <a:ln w="25400" cap="flat" cmpd="sng" algn="ctr">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41</xdr:col>
      <xdr:colOff>174487</xdr:colOff>
      <xdr:row>5</xdr:row>
      <xdr:rowOff>91661</xdr:rowOff>
    </xdr:from>
    <xdr:to>
      <xdr:col>52</xdr:col>
      <xdr:colOff>543339</xdr:colOff>
      <xdr:row>6</xdr:row>
      <xdr:rowOff>18222</xdr:rowOff>
    </xdr:to>
    <xdr:sp macro="" textlink="">
      <xdr:nvSpPr>
        <xdr:cNvPr id="49" name="KPI_ACCENT_4">
          <a:extLst>
            <a:ext uri="{FF2B5EF4-FFF2-40B4-BE49-F238E27FC236}">
              <a16:creationId xmlns:a16="http://schemas.microsoft.com/office/drawing/2014/main" id="{A05C99D7-D329-4089-8056-3BCA07DBF827}"/>
            </a:ext>
          </a:extLst>
        </xdr:cNvPr>
        <xdr:cNvSpPr/>
      </xdr:nvSpPr>
      <xdr:spPr>
        <a:xfrm>
          <a:off x="11455400" y="787400"/>
          <a:ext cx="3060700" cy="50800"/>
        </a:xfrm>
        <a:prstGeom prst="rect">
          <a:avLst/>
        </a:prstGeom>
        <a:solidFill>
          <a:srgbClr val="2F6F6F"/>
        </a:solidFill>
        <a:ln w="25400" cap="flat" cmpd="sng" algn="ctr">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43</xdr:col>
      <xdr:colOff>13252</xdr:colOff>
      <xdr:row>7</xdr:row>
      <xdr:rowOff>82826</xdr:rowOff>
    </xdr:from>
    <xdr:to>
      <xdr:col>52</xdr:col>
      <xdr:colOff>340139</xdr:colOff>
      <xdr:row>8</xdr:row>
      <xdr:rowOff>115404</xdr:rowOff>
    </xdr:to>
    <xdr:sp macro="" textlink="">
      <xdr:nvSpPr>
        <xdr:cNvPr id="50" name="KPI_TITLE_4">
          <a:extLst>
            <a:ext uri="{FF2B5EF4-FFF2-40B4-BE49-F238E27FC236}">
              <a16:creationId xmlns:a16="http://schemas.microsoft.com/office/drawing/2014/main" id="{F60BA174-2F6A-208B-F058-446550388D37}"/>
            </a:ext>
          </a:extLst>
        </xdr:cNvPr>
        <xdr:cNvSpPr txBox="1"/>
      </xdr:nvSpPr>
      <xdr:spPr>
        <a:xfrm>
          <a:off x="11658600" y="952500"/>
          <a:ext cx="2654300" cy="165100"/>
        </a:xfrm>
        <a:prstGeom prst="rect">
          <a:avLst/>
        </a:prstGeom>
        <a:noFill/>
        <a:ln>
          <a:noFill/>
        </a:ln>
      </xdr:spPr>
      <xdr:txBody>
        <a:bodyPr vertOverflow="overflow" vert="horz" wrap="square" rtlCol="0" anchor="t">
          <a:spAutoFit/>
        </a:bodyPr>
        <a:lstStyle/>
        <a:p>
          <a:pPr algn="l"/>
          <a:r>
            <a:rPr kumimoji="0" lang="en-US" sz="900" b="1" i="0" u="none" strike="noStrike" kern="0" cap="none" spc="0" normalizeH="0" baseline="0" noProof="0">
              <a:ln>
                <a:noFill/>
              </a:ln>
              <a:solidFill>
                <a:srgbClr val="2F6F6F"/>
              </a:solidFill>
              <a:effectLst/>
              <a:uLnTx/>
              <a:uFillTx/>
              <a:latin typeface="Segoe UI"/>
              <a:cs typeface="Segoe UI"/>
            </a:rPr>
            <a:t>PEAK EMISSION MONTH</a:t>
          </a:r>
        </a:p>
      </xdr:txBody>
    </xdr:sp>
    <xdr:clientData/>
  </xdr:twoCellAnchor>
  <xdr:twoCellAnchor>
    <xdr:from>
      <xdr:col>43</xdr:col>
      <xdr:colOff>13252</xdr:colOff>
      <xdr:row>8</xdr:row>
      <xdr:rowOff>128104</xdr:rowOff>
    </xdr:from>
    <xdr:to>
      <xdr:col>52</xdr:col>
      <xdr:colOff>340139</xdr:colOff>
      <xdr:row>11</xdr:row>
      <xdr:rowOff>66261</xdr:rowOff>
    </xdr:to>
    <xdr:sp macro="" textlink="">
      <xdr:nvSpPr>
        <xdr:cNvPr id="51" name="KPI_VALUE_4">
          <a:extLst>
            <a:ext uri="{FF2B5EF4-FFF2-40B4-BE49-F238E27FC236}">
              <a16:creationId xmlns:a16="http://schemas.microsoft.com/office/drawing/2014/main" id="{9E0E3DAA-2513-5BC4-6311-E254953DAE33}"/>
            </a:ext>
          </a:extLst>
        </xdr:cNvPr>
        <xdr:cNvSpPr txBox="1"/>
      </xdr:nvSpPr>
      <xdr:spPr>
        <a:xfrm>
          <a:off x="11658600" y="1130300"/>
          <a:ext cx="2654300" cy="393700"/>
        </a:xfrm>
        <a:prstGeom prst="rect">
          <a:avLst/>
        </a:prstGeom>
        <a:noFill/>
        <a:ln>
          <a:noFill/>
        </a:ln>
      </xdr:spPr>
      <xdr:txBody>
        <a:bodyPr vertOverflow="overflow" vert="horz" wrap="square" rtlCol="0" anchor="t">
          <a:spAutoFit/>
        </a:bodyPr>
        <a:lstStyle/>
        <a:p>
          <a:pPr algn="l"/>
          <a:r>
            <a:rPr kumimoji="0" lang="en-US" sz="2000" b="1" i="0" u="none" strike="noStrike" kern="0" cap="none" spc="0" normalizeH="0" baseline="0" noProof="0">
              <a:ln>
                <a:noFill/>
              </a:ln>
              <a:solidFill>
                <a:srgbClr val="1B4332"/>
              </a:solidFill>
              <a:effectLst/>
              <a:uLnTx/>
              <a:uFillTx/>
              <a:latin typeface="Segoe UI"/>
              <a:cs typeface="Segoe UI"/>
            </a:rPr>
            <a:t>January</a:t>
          </a:r>
        </a:p>
      </xdr:txBody>
    </xdr:sp>
    <xdr:clientData/>
  </xdr:twoCellAnchor>
  <xdr:twoCellAnchor>
    <xdr:from>
      <xdr:col>43</xdr:col>
      <xdr:colOff>13252</xdr:colOff>
      <xdr:row>11</xdr:row>
      <xdr:rowOff>104361</xdr:rowOff>
    </xdr:from>
    <xdr:to>
      <xdr:col>52</xdr:col>
      <xdr:colOff>340139</xdr:colOff>
      <xdr:row>13</xdr:row>
      <xdr:rowOff>60307</xdr:rowOff>
    </xdr:to>
    <xdr:sp macro="" textlink="$P$86">
      <xdr:nvSpPr>
        <xdr:cNvPr id="52" name="KPI_SUB_4">
          <a:extLst>
            <a:ext uri="{FF2B5EF4-FFF2-40B4-BE49-F238E27FC236}">
              <a16:creationId xmlns:a16="http://schemas.microsoft.com/office/drawing/2014/main" id="{D2331B94-7A84-5CDA-012E-26036D425188}"/>
            </a:ext>
          </a:extLst>
        </xdr:cNvPr>
        <xdr:cNvSpPr txBox="1"/>
      </xdr:nvSpPr>
      <xdr:spPr>
        <a:xfrm>
          <a:off x="11658600" y="1562100"/>
          <a:ext cx="2654300" cy="245837"/>
        </a:xfrm>
        <a:prstGeom prst="rect">
          <a:avLst/>
        </a:prstGeom>
        <a:noFill/>
        <a:ln>
          <a:noFill/>
        </a:ln>
      </xdr:spPr>
      <xdr:txBody>
        <a:bodyPr vertOverflow="overflow" vert="horz" wrap="square" rtlCol="0" anchor="t">
          <a:spAutoFit/>
        </a:bodyPr>
        <a:lstStyle/>
        <a:p>
          <a:pPr algn="l"/>
          <a:fld id="{081FA349-0DFB-476A-98BD-7593D83B853E}" type="TxLink">
            <a:rPr kumimoji="0" lang="en-US" sz="850" b="1" i="0" u="none" strike="noStrike" kern="0" cap="none" spc="0" normalizeH="0" baseline="0" noProof="0" smtClean="0">
              <a:ln>
                <a:noFill/>
              </a:ln>
              <a:solidFill>
                <a:srgbClr val="6E7F76"/>
              </a:solidFill>
              <a:effectLst/>
              <a:uLnTx/>
              <a:uFillTx/>
              <a:latin typeface="Arial"/>
              <a:cs typeface="Arial"/>
            </a:rPr>
            <a:t>117.8 tCO₂e   |   40% above avg</a:t>
          </a:fld>
          <a:endParaRPr kumimoji="0" lang="en-US" sz="850" b="0" i="0" u="none" strike="noStrike" kern="0" cap="none" spc="0" normalizeH="0" baseline="0" noProof="0">
            <a:ln>
              <a:noFill/>
            </a:ln>
            <a:solidFill>
              <a:srgbClr val="6E7F76"/>
            </a:solidFill>
            <a:effectLst/>
            <a:uLnTx/>
            <a:uFillTx/>
            <a:latin typeface="Segoe UI"/>
            <a:cs typeface="Segoe U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257175</xdr:colOff>
      <xdr:row>103</xdr:row>
      <xdr:rowOff>66674</xdr:rowOff>
    </xdr:from>
    <xdr:to>
      <xdr:col>15</xdr:col>
      <xdr:colOff>38100</xdr:colOff>
      <xdr:row>124</xdr:row>
      <xdr:rowOff>161925</xdr:rowOff>
    </xdr:to>
    <xdr:graphicFrame macro="">
      <xdr:nvGraphicFramePr>
        <xdr:cNvPr id="5" name="Chart 4">
          <a:extLst>
            <a:ext uri="{FF2B5EF4-FFF2-40B4-BE49-F238E27FC236}">
              <a16:creationId xmlns:a16="http://schemas.microsoft.com/office/drawing/2014/main" id="{3788F5D7-81CA-FF77-F8E5-CB9800EFF2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439230</xdr:colOff>
      <xdr:row>45</xdr:row>
      <xdr:rowOff>16565</xdr:rowOff>
    </xdr:from>
    <xdr:to>
      <xdr:col>13</xdr:col>
      <xdr:colOff>331304</xdr:colOff>
      <xdr:row>64</xdr:row>
      <xdr:rowOff>173935</xdr:rowOff>
    </xdr:to>
    <xdr:graphicFrame macro="">
      <xdr:nvGraphicFramePr>
        <xdr:cNvPr id="3" name="Chart 2">
          <a:extLst>
            <a:ext uri="{FF2B5EF4-FFF2-40B4-BE49-F238E27FC236}">
              <a16:creationId xmlns:a16="http://schemas.microsoft.com/office/drawing/2014/main" id="{48CCC440-C404-6C43-ACE8-F6D0CDC6B2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iniel Chan" refreshedDate="46251.829565509259" createdVersion="8" refreshedVersion="8" minRefreshableVersion="3" recordCount="96" xr:uid="{E7447119-35F4-43BF-B275-4E25076BD2B3}">
  <cacheSource type="worksheet">
    <worksheetSource name="tblScope1"/>
  </cacheSource>
  <cacheFields count="17">
    <cacheField name="Record ID" numFmtId="0">
      <sharedItems/>
    </cacheField>
    <cacheField name="Date" numFmtId="166">
      <sharedItems containsSemiMixedTypes="0" containsNonDate="0" containsDate="1" containsString="0" minDate="2026-01-31T00:00:00" maxDate="2027-01-01T00:00:00" count="12">
        <d v="2026-01-31T00:00:00"/>
        <d v="2026-02-28T00:00:00"/>
        <d v="2026-03-31T00:00:00"/>
        <d v="2026-04-30T00:00:00"/>
        <d v="2026-05-31T00:00:00"/>
        <d v="2026-06-30T00:00:00"/>
        <d v="2026-07-31T00:00:00"/>
        <d v="2026-08-31T00:00:00"/>
        <d v="2026-09-30T00:00:00"/>
        <d v="2026-10-31T00:00:00"/>
        <d v="2026-11-30T00:00:00"/>
        <d v="2026-12-31T00:00:00"/>
      </sharedItems>
      <fieldGroup par="16"/>
    </cacheField>
    <cacheField name="Facility" numFmtId="3">
      <sharedItems count="3">
        <s v="Toronto Office"/>
        <s v="Calgary Office"/>
        <s v="Vancouver Office"/>
      </sharedItems>
    </cacheField>
    <cacheField name="Province" numFmtId="0">
      <sharedItems/>
    </cacheField>
    <cacheField name="Emission Source" numFmtId="3">
      <sharedItems/>
    </cacheField>
    <cacheField name="Activity / Fuel" numFmtId="3">
      <sharedItems/>
    </cacheField>
    <cacheField name="Activity Data" numFmtId="3">
      <sharedItems containsSemiMixedTypes="0" containsString="0" containsNumber="1" containsInteger="1" minValue="680" maxValue="16380"/>
    </cacheField>
    <cacheField name="Unit" numFmtId="0">
      <sharedItems/>
    </cacheField>
    <cacheField name="EF ID" numFmtId="0">
      <sharedItems/>
    </cacheField>
    <cacheField name="Aggregated Emission Factor" numFmtId="167">
      <sharedItems containsSemiMixedTypes="0" containsString="0" containsNumber="1" minValue="1.9313110000000002" maxValue="2.6890140000000002"/>
    </cacheField>
    <cacheField name="EF Unit" numFmtId="0">
      <sharedItems/>
    </cacheField>
    <cacheField name="kg CO₂e" numFmtId="3">
      <sharedItems containsSemiMixedTypes="0" containsString="0" containsNumber="1" minValue="1828.52952" maxValue="31634.874180000003"/>
    </cacheField>
    <cacheField name="tCO₂e" numFmtId="4">
      <sharedItems containsSemiMixedTypes="0" containsString="0" containsNumber="1" minValue="1.82852952" maxValue="31.634874180000004"/>
    </cacheField>
    <cacheField name="Data Source / Evidence" numFmtId="0">
      <sharedItems/>
    </cacheField>
    <cacheField name="Notes" numFmtId="0">
      <sharedItems/>
    </cacheField>
    <cacheField name="Days (Date)" numFmtId="0" databaseField="0">
      <fieldGroup base="1">
        <rangePr groupBy="days" startDate="2026-01-31T00:00:00" endDate="2027-01-01T00:00:00"/>
        <groupItems count="368">
          <s v="&lt;1/3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7"/>
        </groupItems>
      </fieldGroup>
    </cacheField>
    <cacheField name="Months (Date)" numFmtId="0" databaseField="0">
      <fieldGroup base="1">
        <rangePr groupBy="months" startDate="2026-01-31T00:00:00" endDate="2027-01-01T00:00:00"/>
        <groupItems count="14">
          <s v="&lt;1/31/2026"/>
          <s v="Jan"/>
          <s v="Feb"/>
          <s v="Mar"/>
          <s v="Apr"/>
          <s v="May"/>
          <s v="Jun"/>
          <s v="Jul"/>
          <s v="Aug"/>
          <s v="Sep"/>
          <s v="Oct"/>
          <s v="Nov"/>
          <s v="Dec"/>
          <s v="&gt;1/1/2027"/>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iniel Chan" refreshedDate="46251.833053703704" createdVersion="8" refreshedVersion="8" minRefreshableVersion="3" recordCount="36" xr:uid="{4BF82002-4F69-498C-AFAD-CD2B5D7C1367}">
  <cacheSource type="worksheet">
    <worksheetSource name="tblScope2"/>
  </cacheSource>
  <cacheFields count="15">
    <cacheField name="Record ID" numFmtId="0">
      <sharedItems/>
    </cacheField>
    <cacheField name="Date" numFmtId="166">
      <sharedItems containsSemiMixedTypes="0" containsNonDate="0" containsDate="1" containsString="0" minDate="2026-01-31T00:00:00" maxDate="2027-01-01T00:00:00" count="12">
        <d v="2026-01-31T00:00:00"/>
        <d v="2026-02-28T00:00:00"/>
        <d v="2026-03-31T00:00:00"/>
        <d v="2026-04-30T00:00:00"/>
        <d v="2026-05-31T00:00:00"/>
        <d v="2026-06-30T00:00:00"/>
        <d v="2026-07-31T00:00:00"/>
        <d v="2026-08-31T00:00:00"/>
        <d v="2026-09-30T00:00:00"/>
        <d v="2026-10-31T00:00:00"/>
        <d v="2026-11-30T00:00:00"/>
        <d v="2026-12-31T00:00:00"/>
      </sharedItems>
      <fieldGroup par="14"/>
    </cacheField>
    <cacheField name="Facility" numFmtId="0">
      <sharedItems count="3">
        <s v="Toronto Office"/>
        <s v="Calgary Office"/>
        <s v="Vancouver Office"/>
      </sharedItems>
    </cacheField>
    <cacheField name="Province" numFmtId="0">
      <sharedItems/>
    </cacheField>
    <cacheField name="Electricity Consumption" numFmtId="3">
      <sharedItems containsSemiMixedTypes="0" containsString="0" containsNumber="1" containsInteger="1" minValue="32000" maxValue="82000"/>
    </cacheField>
    <cacheField name="Unit" numFmtId="0">
      <sharedItems/>
    </cacheField>
    <cacheField name="EF ID" numFmtId="0">
      <sharedItems/>
    </cacheField>
    <cacheField name="Electricity Emission Factor" numFmtId="167">
      <sharedItems containsSemiMixedTypes="0" containsString="0" containsNumber="1" minValue="1.7999999999999999E-2" maxValue="0.438"/>
    </cacheField>
    <cacheField name="EF Unit" numFmtId="0">
      <sharedItems/>
    </cacheField>
    <cacheField name="kg CO₂e" numFmtId="3">
      <sharedItems containsSemiMixedTypes="0" containsString="0" containsNumber="1" minValue="576" maxValue="27594"/>
    </cacheField>
    <cacheField name="tCO₂e" numFmtId="4">
      <sharedItems containsSemiMixedTypes="0" containsString="0" containsNumber="1" minValue="0.57599999999999996" maxValue="27.594000000000001"/>
    </cacheField>
    <cacheField name="Data Source / Evidence" numFmtId="0">
      <sharedItems/>
    </cacheField>
    <cacheField name="Notes" numFmtId="0">
      <sharedItems/>
    </cacheField>
    <cacheField name="Days (Date)" numFmtId="0" databaseField="0">
      <fieldGroup base="1">
        <rangePr groupBy="days" startDate="2026-01-31T00:00:00" endDate="2027-01-01T00:00:00"/>
        <groupItems count="368">
          <s v="&lt;1/3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7"/>
        </groupItems>
      </fieldGroup>
    </cacheField>
    <cacheField name="Months (Date)" numFmtId="0" databaseField="0">
      <fieldGroup base="1">
        <rangePr groupBy="months" startDate="2026-01-31T00:00:00" endDate="2027-01-01T00:00:00"/>
        <groupItems count="14">
          <s v="&lt;1/31/2026"/>
          <s v="Jan"/>
          <s v="Feb"/>
          <s v="Mar"/>
          <s v="Apr"/>
          <s v="May"/>
          <s v="Jun"/>
          <s v="Jul"/>
          <s v="Aug"/>
          <s v="Sep"/>
          <s v="Oct"/>
          <s v="Nov"/>
          <s v="Dec"/>
          <s v="&gt;1/1/2027"/>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s v="S1-001"/>
    <x v="0"/>
    <x v="0"/>
    <s v="Ontario"/>
    <s v="Stationary combustion"/>
    <s v="Natural gas"/>
    <n v="16380"/>
    <s v="m³"/>
    <s v="EF-S1-NG-ON"/>
    <n v="1.9313110000000002"/>
    <s v="kg CO₂e/m³"/>
    <n v="31634.874180000003"/>
    <n v="31.634874180000004"/>
    <s v="Gas utility invoice (sample), January 2026"/>
    <s v="Building heating, marketable natural gas."/>
  </r>
  <r>
    <s v="S1-002"/>
    <x v="1"/>
    <x v="0"/>
    <s v="Ontario"/>
    <s v="Stationary combustion"/>
    <s v="Natural gas"/>
    <n v="14700"/>
    <s v="m³"/>
    <s v="EF-S1-NG-ON"/>
    <n v="1.9313110000000002"/>
    <s v="kg CO₂e/m³"/>
    <n v="28390.271700000005"/>
    <n v="28.390271700000003"/>
    <s v="Gas utility invoice (sample), February 2026"/>
    <s v="Building heating, marketable natural gas."/>
  </r>
  <r>
    <s v="S1-003"/>
    <x v="2"/>
    <x v="0"/>
    <s v="Ontario"/>
    <s v="Stationary combustion"/>
    <s v="Natural gas"/>
    <n v="10920"/>
    <s v="m³"/>
    <s v="EF-S1-NG-ON"/>
    <n v="1.9313110000000002"/>
    <s v="kg CO₂e/m³"/>
    <n v="21089.916120000002"/>
    <n v="21.089916120000002"/>
    <s v="Gas utility invoice (sample), March 2026"/>
    <s v="Building heating, marketable natural gas."/>
  </r>
  <r>
    <s v="S1-004"/>
    <x v="3"/>
    <x v="0"/>
    <s v="Ontario"/>
    <s v="Stationary combustion"/>
    <s v="Natural gas"/>
    <n v="8510"/>
    <s v="m³"/>
    <s v="EF-S1-NG-ON"/>
    <n v="1.9313110000000002"/>
    <s v="kg CO₂e/m³"/>
    <n v="16435.456610000001"/>
    <n v="16.435456610000003"/>
    <s v="Gas utility invoice (sample), April 2026"/>
    <s v="Building heating, marketable natural gas."/>
  </r>
  <r>
    <s v="S1-005"/>
    <x v="4"/>
    <x v="0"/>
    <s v="Ontario"/>
    <s v="Stationary combustion"/>
    <s v="Natural gas"/>
    <n v="6100"/>
    <s v="m³"/>
    <s v="EF-S1-NG-ON"/>
    <n v="1.9313110000000002"/>
    <s v="kg CO₂e/m³"/>
    <n v="11780.997100000001"/>
    <n v="11.7809971"/>
    <s v="Gas utility invoice (sample), May 2026"/>
    <s v="Building heating, marketable natural gas."/>
  </r>
  <r>
    <s v="S1-006"/>
    <x v="5"/>
    <x v="0"/>
    <s v="Ontario"/>
    <s v="Stationary combustion"/>
    <s v="Natural gas"/>
    <n v="3880"/>
    <s v="m³"/>
    <s v="EF-S1-NG-ON"/>
    <n v="1.9313110000000002"/>
    <s v="kg CO₂e/m³"/>
    <n v="7493.4866800000009"/>
    <n v="7.4934866800000011"/>
    <s v="Gas utility invoice (sample), June 2026"/>
    <s v="Building heating, marketable natural gas."/>
  </r>
  <r>
    <s v="S1-007"/>
    <x v="6"/>
    <x v="0"/>
    <s v="Ontario"/>
    <s v="Stationary combustion"/>
    <s v="Natural gas"/>
    <n v="1860"/>
    <s v="m³"/>
    <s v="EF-S1-NG-ON"/>
    <n v="1.9313110000000002"/>
    <s v="kg CO₂e/m³"/>
    <n v="3592.2384600000005"/>
    <n v="3.5922384600000004"/>
    <s v="Gas utility invoice (sample), July 2026"/>
    <s v="Building heating, marketable natural gas."/>
  </r>
  <r>
    <s v="S1-008"/>
    <x v="7"/>
    <x v="0"/>
    <s v="Ontario"/>
    <s v="Stationary combustion"/>
    <s v="Natural gas"/>
    <n v="1980"/>
    <s v="m³"/>
    <s v="EF-S1-NG-ON"/>
    <n v="1.9313110000000002"/>
    <s v="kg CO₂e/m³"/>
    <n v="3823.9957800000007"/>
    <n v="3.8239957800000006"/>
    <s v="Gas utility invoice (sample), August 2026"/>
    <s v="Building heating, marketable natural gas."/>
  </r>
  <r>
    <s v="S1-009"/>
    <x v="8"/>
    <x v="0"/>
    <s v="Ontario"/>
    <s v="Stationary combustion"/>
    <s v="Natural gas"/>
    <n v="2360"/>
    <s v="m³"/>
    <s v="EF-S1-NG-ON"/>
    <n v="1.9313110000000002"/>
    <s v="kg CO₂e/m³"/>
    <n v="4557.8939600000003"/>
    <n v="4.5578939600000004"/>
    <s v="Gas utility invoice (sample), September 2026"/>
    <s v="Building heating, marketable natural gas."/>
  </r>
  <r>
    <s v="S1-010"/>
    <x v="9"/>
    <x v="0"/>
    <s v="Ontario"/>
    <s v="Stationary combustion"/>
    <s v="Natural gas"/>
    <n v="6910"/>
    <s v="m³"/>
    <s v="EF-S1-NG-ON"/>
    <n v="1.9313110000000002"/>
    <s v="kg CO₂e/m³"/>
    <n v="13345.359010000002"/>
    <n v="13.345359010000003"/>
    <s v="Gas utility invoice (sample), October 2026"/>
    <s v="Building heating, marketable natural gas."/>
  </r>
  <r>
    <s v="S1-011"/>
    <x v="10"/>
    <x v="0"/>
    <s v="Ontario"/>
    <s v="Stationary combustion"/>
    <s v="Natural gas"/>
    <n v="10680"/>
    <s v="m³"/>
    <s v="EF-S1-NG-ON"/>
    <n v="1.9313110000000002"/>
    <s v="kg CO₂e/m³"/>
    <n v="20626.401480000004"/>
    <n v="20.626401480000006"/>
    <s v="Gas utility invoice (sample), November 2026"/>
    <s v="Building heating, marketable natural gas."/>
  </r>
  <r>
    <s v="S1-012"/>
    <x v="11"/>
    <x v="0"/>
    <s v="Ontario"/>
    <s v="Stationary combustion"/>
    <s v="Natural gas"/>
    <n v="13820"/>
    <s v="m³"/>
    <s v="EF-S1-NG-ON"/>
    <n v="1.9313110000000002"/>
    <s v="kg CO₂e/m³"/>
    <n v="26690.718020000004"/>
    <n v="26.690718020000006"/>
    <s v="Gas utility invoice (sample), December 2026"/>
    <s v="Building heating, marketable natural gas."/>
  </r>
  <r>
    <s v="S1-013"/>
    <x v="0"/>
    <x v="0"/>
    <s v="Ontario"/>
    <s v="Mobile combustion"/>
    <s v="Motor gasoline"/>
    <n v="1650"/>
    <s v="L"/>
    <s v="EF-S1-GAS"/>
    <n v="2.3151000000000002"/>
    <s v="kg CO₂e/L"/>
    <n v="3819.9150000000004"/>
    <n v="3.8199150000000004"/>
    <s v="Fleet fuel card statement (sample), January 2026"/>
    <s v="Company owned passenger vehicles."/>
  </r>
  <r>
    <s v="S1-014"/>
    <x v="1"/>
    <x v="0"/>
    <s v="Ontario"/>
    <s v="Mobile combustion"/>
    <s v="Motor gasoline"/>
    <n v="1600"/>
    <s v="L"/>
    <s v="EF-S1-GAS"/>
    <n v="2.3151000000000002"/>
    <s v="kg CO₂e/L"/>
    <n v="3704.1600000000003"/>
    <n v="3.7041600000000003"/>
    <s v="Fleet fuel card statement (sample), February 2026"/>
    <s v="Company owned passenger vehicles."/>
  </r>
  <r>
    <s v="S1-015"/>
    <x v="2"/>
    <x v="0"/>
    <s v="Ontario"/>
    <s v="Mobile combustion"/>
    <s v="Motor gasoline"/>
    <n v="1600"/>
    <s v="L"/>
    <s v="EF-S1-GAS"/>
    <n v="2.3151000000000002"/>
    <s v="kg CO₂e/L"/>
    <n v="3704.1600000000003"/>
    <n v="3.7041600000000003"/>
    <s v="Fleet fuel card statement (sample), March 2026"/>
    <s v="Company owned passenger vehicles."/>
  </r>
  <r>
    <s v="S1-016"/>
    <x v="3"/>
    <x v="0"/>
    <s v="Ontario"/>
    <s v="Mobile combustion"/>
    <s v="Motor gasoline"/>
    <n v="1640"/>
    <s v="L"/>
    <s v="EF-S1-GAS"/>
    <n v="2.3151000000000002"/>
    <s v="kg CO₂e/L"/>
    <n v="3796.7640000000001"/>
    <n v="3.796764"/>
    <s v="Fleet fuel card statement (sample), April 2026"/>
    <s v="Company owned passenger vehicles."/>
  </r>
  <r>
    <s v="S1-017"/>
    <x v="4"/>
    <x v="0"/>
    <s v="Ontario"/>
    <s v="Mobile combustion"/>
    <s v="Motor gasoline"/>
    <n v="1740"/>
    <s v="L"/>
    <s v="EF-S1-GAS"/>
    <n v="2.3151000000000002"/>
    <s v="kg CO₂e/L"/>
    <n v="4028.2740000000003"/>
    <n v="4.0282740000000006"/>
    <s v="Fleet fuel card statement (sample), May 2026"/>
    <s v="Company owned passenger vehicles."/>
  </r>
  <r>
    <s v="S1-018"/>
    <x v="5"/>
    <x v="0"/>
    <s v="Ontario"/>
    <s v="Mobile combustion"/>
    <s v="Motor gasoline"/>
    <n v="1740"/>
    <s v="L"/>
    <s v="EF-S1-GAS"/>
    <n v="2.3151000000000002"/>
    <s v="kg CO₂e/L"/>
    <n v="4028.2740000000003"/>
    <n v="4.0282740000000006"/>
    <s v="Fleet fuel card statement (sample), June 2026"/>
    <s v="Company owned passenger vehicles."/>
  </r>
  <r>
    <s v="S1-019"/>
    <x v="6"/>
    <x v="0"/>
    <s v="Ontario"/>
    <s v="Mobile combustion"/>
    <s v="Motor gasoline"/>
    <n v="1810"/>
    <s v="L"/>
    <s v="EF-S1-GAS"/>
    <n v="2.3151000000000002"/>
    <s v="kg CO₂e/L"/>
    <n v="4190.3310000000001"/>
    <n v="4.1903310000000005"/>
    <s v="Fleet fuel card statement (sample), July 2026"/>
    <s v="Company owned passenger vehicles."/>
  </r>
  <r>
    <s v="S1-020"/>
    <x v="7"/>
    <x v="0"/>
    <s v="Ontario"/>
    <s v="Mobile combustion"/>
    <s v="Motor gasoline"/>
    <n v="1860"/>
    <s v="L"/>
    <s v="EF-S1-GAS"/>
    <n v="2.3151000000000002"/>
    <s v="kg CO₂e/L"/>
    <n v="4306.0860000000002"/>
    <n v="4.3060860000000005"/>
    <s v="Fleet fuel card statement (sample), August 2026"/>
    <s v="Company owned passenger vehicles."/>
  </r>
  <r>
    <s v="S1-021"/>
    <x v="8"/>
    <x v="0"/>
    <s v="Ontario"/>
    <s v="Mobile combustion"/>
    <s v="Motor gasoline"/>
    <n v="1810"/>
    <s v="L"/>
    <s v="EF-S1-GAS"/>
    <n v="2.3151000000000002"/>
    <s v="kg CO₂e/L"/>
    <n v="4190.3310000000001"/>
    <n v="4.1903310000000005"/>
    <s v="Fleet fuel card statement (sample), September 2026"/>
    <s v="Company owned passenger vehicles."/>
  </r>
  <r>
    <s v="S1-022"/>
    <x v="9"/>
    <x v="0"/>
    <s v="Ontario"/>
    <s v="Mobile combustion"/>
    <s v="Motor gasoline"/>
    <n v="1620"/>
    <s v="L"/>
    <s v="EF-S1-GAS"/>
    <n v="2.3151000000000002"/>
    <s v="kg CO₂e/L"/>
    <n v="3750.4620000000004"/>
    <n v="3.7504620000000006"/>
    <s v="Fleet fuel card statement (sample), October 2026"/>
    <s v="Company owned passenger vehicles."/>
  </r>
  <r>
    <s v="S1-023"/>
    <x v="10"/>
    <x v="0"/>
    <s v="Ontario"/>
    <s v="Mobile combustion"/>
    <s v="Motor gasoline"/>
    <n v="1570"/>
    <s v="L"/>
    <s v="EF-S1-GAS"/>
    <n v="2.3151000000000002"/>
    <s v="kg CO₂e/L"/>
    <n v="3634.7070000000003"/>
    <n v="3.6347070000000001"/>
    <s v="Fleet fuel card statement (sample), November 2026"/>
    <s v="Company owned passenger vehicles."/>
  </r>
  <r>
    <s v="S1-024"/>
    <x v="11"/>
    <x v="0"/>
    <s v="Ontario"/>
    <s v="Mobile combustion"/>
    <s v="Motor gasoline"/>
    <n v="1570"/>
    <s v="L"/>
    <s v="EF-S1-GAS"/>
    <n v="2.3151000000000002"/>
    <s v="kg CO₂e/L"/>
    <n v="3634.7070000000003"/>
    <n v="3.6347070000000001"/>
    <s v="Fleet fuel card statement (sample), December 2026"/>
    <s v="Company owned passenger vehicles."/>
  </r>
  <r>
    <s v="S1-025"/>
    <x v="0"/>
    <x v="0"/>
    <s v="Ontario"/>
    <s v="Mobile combustion"/>
    <s v="Diesel"/>
    <n v="730"/>
    <s v="L"/>
    <s v="EF-S1-DSL"/>
    <n v="2.6890140000000002"/>
    <s v="kg CO₂e/L"/>
    <n v="1962.9802200000001"/>
    <n v="1.9629802200000002"/>
    <s v="Fleet fuel card statement (sample), January 2026"/>
    <s v="Company owned light trucks."/>
  </r>
  <r>
    <s v="S1-026"/>
    <x v="1"/>
    <x v="0"/>
    <s v="Ontario"/>
    <s v="Mobile combustion"/>
    <s v="Diesel"/>
    <n v="710"/>
    <s v="L"/>
    <s v="EF-S1-DSL"/>
    <n v="2.6890140000000002"/>
    <s v="kg CO₂e/L"/>
    <n v="1909.1999400000002"/>
    <n v="1.9091999400000002"/>
    <s v="Fleet fuel card statement (sample), February 2026"/>
    <s v="Company owned light trucks."/>
  </r>
  <r>
    <s v="S1-027"/>
    <x v="2"/>
    <x v="0"/>
    <s v="Ontario"/>
    <s v="Mobile combustion"/>
    <s v="Diesel"/>
    <n v="710"/>
    <s v="L"/>
    <s v="EF-S1-DSL"/>
    <n v="2.6890140000000002"/>
    <s v="kg CO₂e/L"/>
    <n v="1909.1999400000002"/>
    <n v="1.9091999400000002"/>
    <s v="Fleet fuel card statement (sample), March 2026"/>
    <s v="Company owned light trucks."/>
  </r>
  <r>
    <s v="S1-028"/>
    <x v="3"/>
    <x v="0"/>
    <s v="Ontario"/>
    <s v="Mobile combustion"/>
    <s v="Diesel"/>
    <n v="760"/>
    <s v="L"/>
    <s v="EF-S1-DSL"/>
    <n v="2.6890140000000002"/>
    <s v="kg CO₂e/L"/>
    <n v="2043.6506400000003"/>
    <n v="2.0436506400000001"/>
    <s v="Fleet fuel card statement (sample), April 2026"/>
    <s v="Company owned light trucks."/>
  </r>
  <r>
    <s v="S1-029"/>
    <x v="4"/>
    <x v="0"/>
    <s v="Ontario"/>
    <s v="Mobile combustion"/>
    <s v="Diesel"/>
    <n v="810"/>
    <s v="L"/>
    <s v="EF-S1-DSL"/>
    <n v="2.6890140000000002"/>
    <s v="kg CO₂e/L"/>
    <n v="2178.1013400000002"/>
    <n v="2.17810134"/>
    <s v="Fleet fuel card statement (sample), May 2026"/>
    <s v="Company owned light trucks."/>
  </r>
  <r>
    <s v="S1-030"/>
    <x v="5"/>
    <x v="0"/>
    <s v="Ontario"/>
    <s v="Mobile combustion"/>
    <s v="Diesel"/>
    <n v="810"/>
    <s v="L"/>
    <s v="EF-S1-DSL"/>
    <n v="2.6890140000000002"/>
    <s v="kg CO₂e/L"/>
    <n v="2178.1013400000002"/>
    <n v="2.17810134"/>
    <s v="Fleet fuel card statement (sample), June 2026"/>
    <s v="Company owned light trucks."/>
  </r>
  <r>
    <s v="S1-031"/>
    <x v="6"/>
    <x v="0"/>
    <s v="Ontario"/>
    <s v="Mobile combustion"/>
    <s v="Diesel"/>
    <n v="830"/>
    <s v="L"/>
    <s v="EF-S1-DSL"/>
    <n v="2.6890140000000002"/>
    <s v="kg CO₂e/L"/>
    <n v="2231.8816200000001"/>
    <n v="2.2318816200000002"/>
    <s v="Fleet fuel card statement (sample), July 2026"/>
    <s v="Company owned light trucks."/>
  </r>
  <r>
    <s v="S1-032"/>
    <x v="7"/>
    <x v="0"/>
    <s v="Ontario"/>
    <s v="Mobile combustion"/>
    <s v="Diesel"/>
    <n v="850"/>
    <s v="L"/>
    <s v="EF-S1-DSL"/>
    <n v="2.6890140000000002"/>
    <s v="kg CO₂e/L"/>
    <n v="2285.6619000000001"/>
    <n v="2.2856619"/>
    <s v="Fleet fuel card statement (sample), August 2026"/>
    <s v="Company owned light trucks."/>
  </r>
  <r>
    <s v="S1-033"/>
    <x v="8"/>
    <x v="0"/>
    <s v="Ontario"/>
    <s v="Mobile combustion"/>
    <s v="Diesel"/>
    <n v="830"/>
    <s v="L"/>
    <s v="EF-S1-DSL"/>
    <n v="2.6890140000000002"/>
    <s v="kg CO₂e/L"/>
    <n v="2231.8816200000001"/>
    <n v="2.2318816200000002"/>
    <s v="Fleet fuel card statement (sample), September 2026"/>
    <s v="Company owned light trucks."/>
  </r>
  <r>
    <s v="S1-034"/>
    <x v="9"/>
    <x v="0"/>
    <s v="Ontario"/>
    <s v="Mobile combustion"/>
    <s v="Diesel"/>
    <n v="700"/>
    <s v="L"/>
    <s v="EF-S1-DSL"/>
    <n v="2.6890140000000002"/>
    <s v="kg CO₂e/L"/>
    <n v="1882.3098000000002"/>
    <n v="1.8823098000000003"/>
    <s v="Fleet fuel card statement (sample), October 2026"/>
    <s v="Company owned light trucks."/>
  </r>
  <r>
    <s v="S1-035"/>
    <x v="10"/>
    <x v="0"/>
    <s v="Ontario"/>
    <s v="Mobile combustion"/>
    <s v="Diesel"/>
    <n v="680"/>
    <s v="L"/>
    <s v="EF-S1-DSL"/>
    <n v="2.6890140000000002"/>
    <s v="kg CO₂e/L"/>
    <n v="1828.52952"/>
    <n v="1.82852952"/>
    <s v="Fleet fuel card statement (sample), November 2026"/>
    <s v="Company owned light trucks."/>
  </r>
  <r>
    <s v="S1-036"/>
    <x v="11"/>
    <x v="0"/>
    <s v="Ontario"/>
    <s v="Mobile combustion"/>
    <s v="Diesel"/>
    <n v="680"/>
    <s v="L"/>
    <s v="EF-S1-DSL"/>
    <n v="2.6890140000000002"/>
    <s v="kg CO₂e/L"/>
    <n v="1828.52952"/>
    <n v="1.82852952"/>
    <s v="Fleet fuel card statement (sample), December 2026"/>
    <s v="Company owned light trucks."/>
  </r>
  <r>
    <s v="S1-037"/>
    <x v="0"/>
    <x v="1"/>
    <s v="Alberta"/>
    <s v="Stationary combustion"/>
    <s v="Natural gas"/>
    <n v="14350"/>
    <s v="m³"/>
    <s v="EF-S1-NG-AB"/>
    <n v="1.9723110000000001"/>
    <s v="kg CO₂e/m³"/>
    <n v="28302.662850000001"/>
    <n v="28.302662850000001"/>
    <s v="Gas utility invoice (sample), January 2026"/>
    <s v="Building heating, marketable natural gas."/>
  </r>
  <r>
    <s v="S1-038"/>
    <x v="1"/>
    <x v="1"/>
    <s v="Alberta"/>
    <s v="Stationary combustion"/>
    <s v="Natural gas"/>
    <n v="12880"/>
    <s v="m³"/>
    <s v="EF-S1-NG-AB"/>
    <n v="1.9723110000000001"/>
    <s v="kg CO₂e/m³"/>
    <n v="25403.365680000003"/>
    <n v="25.403365680000004"/>
    <s v="Gas utility invoice (sample), February 2026"/>
    <s v="Building heating, marketable natural gas."/>
  </r>
  <r>
    <s v="S1-039"/>
    <x v="2"/>
    <x v="1"/>
    <s v="Alberta"/>
    <s v="Stationary combustion"/>
    <s v="Natural gas"/>
    <n v="9570"/>
    <s v="m³"/>
    <s v="EF-S1-NG-AB"/>
    <n v="1.9723110000000001"/>
    <s v="kg CO₂e/m³"/>
    <n v="18875.01627"/>
    <n v="18.87501627"/>
    <s v="Gas utility invoice (sample), March 2026"/>
    <s v="Building heating, marketable natural gas."/>
  </r>
  <r>
    <s v="S1-040"/>
    <x v="3"/>
    <x v="1"/>
    <s v="Alberta"/>
    <s v="Stationary combustion"/>
    <s v="Natural gas"/>
    <n v="7770"/>
    <s v="m³"/>
    <s v="EF-S1-NG-AB"/>
    <n v="1.9723110000000001"/>
    <s v="kg CO₂e/m³"/>
    <n v="15324.856470000001"/>
    <n v="15.32485647"/>
    <s v="Gas utility invoice (sample), April 2026"/>
    <s v="Building heating, marketable natural gas."/>
  </r>
  <r>
    <s v="S1-041"/>
    <x v="4"/>
    <x v="1"/>
    <s v="Alberta"/>
    <s v="Stationary combustion"/>
    <s v="Natural gas"/>
    <n v="5580"/>
    <s v="m³"/>
    <s v="EF-S1-NG-AB"/>
    <n v="1.9723110000000001"/>
    <s v="kg CO₂e/m³"/>
    <n v="11005.49538"/>
    <n v="11.005495380000001"/>
    <s v="Gas utility invoice (sample), May 2026"/>
    <s v="Building heating, marketable natural gas."/>
  </r>
  <r>
    <s v="S1-042"/>
    <x v="5"/>
    <x v="1"/>
    <s v="Alberta"/>
    <s v="Stationary combustion"/>
    <s v="Natural gas"/>
    <n v="3550"/>
    <s v="m³"/>
    <s v="EF-S1-NG-AB"/>
    <n v="1.9723110000000001"/>
    <s v="kg CO₂e/m³"/>
    <n v="7001.7040500000003"/>
    <n v="7.0017040499999998"/>
    <s v="Gas utility invoice (sample), June 2026"/>
    <s v="Building heating, marketable natural gas."/>
  </r>
  <r>
    <s v="S1-043"/>
    <x v="6"/>
    <x v="1"/>
    <s v="Alberta"/>
    <s v="Stationary combustion"/>
    <s v="Natural gas"/>
    <n v="1620"/>
    <s v="m³"/>
    <s v="EF-S1-NG-AB"/>
    <n v="1.9723110000000001"/>
    <s v="kg CO₂e/m³"/>
    <n v="3195.1438200000002"/>
    <n v="3.1951438200000002"/>
    <s v="Gas utility invoice (sample), July 2026"/>
    <s v="Building heating, marketable natural gas."/>
  </r>
  <r>
    <s v="S1-044"/>
    <x v="7"/>
    <x v="1"/>
    <s v="Alberta"/>
    <s v="Stationary combustion"/>
    <s v="Natural gas"/>
    <n v="1730"/>
    <s v="m³"/>
    <s v="EF-S1-NG-AB"/>
    <n v="1.9723110000000001"/>
    <s v="kg CO₂e/m³"/>
    <n v="3412.0980300000001"/>
    <n v="3.4120980300000001"/>
    <s v="Gas utility invoice (sample), August 2026"/>
    <s v="Building heating, marketable natural gas."/>
  </r>
  <r>
    <s v="S1-045"/>
    <x v="8"/>
    <x v="1"/>
    <s v="Alberta"/>
    <s v="Stationary combustion"/>
    <s v="Natural gas"/>
    <n v="2050"/>
    <s v="m³"/>
    <s v="EF-S1-NG-AB"/>
    <n v="1.9723110000000001"/>
    <s v="kg CO₂e/m³"/>
    <n v="4043.2375500000003"/>
    <n v="4.0432375500000006"/>
    <s v="Gas utility invoice (sample), September 2026"/>
    <s v="Building heating, marketable natural gas."/>
  </r>
  <r>
    <s v="S1-046"/>
    <x v="9"/>
    <x v="1"/>
    <s v="Alberta"/>
    <s v="Stationary combustion"/>
    <s v="Natural gas"/>
    <n v="6290"/>
    <s v="m³"/>
    <s v="EF-S1-NG-AB"/>
    <n v="1.9723110000000001"/>
    <s v="kg CO₂e/m³"/>
    <n v="12405.836190000002"/>
    <n v="12.405836190000002"/>
    <s v="Gas utility invoice (sample), October 2026"/>
    <s v="Building heating, marketable natural gas."/>
  </r>
  <r>
    <s v="S1-047"/>
    <x v="10"/>
    <x v="1"/>
    <s v="Alberta"/>
    <s v="Stationary combustion"/>
    <s v="Natural gas"/>
    <n v="9720"/>
    <s v="m³"/>
    <s v="EF-S1-NG-AB"/>
    <n v="1.9723110000000001"/>
    <s v="kg CO₂e/m³"/>
    <n v="19170.862920000003"/>
    <n v="19.170862920000005"/>
    <s v="Gas utility invoice (sample), November 2026"/>
    <s v="Building heating, marketable natural gas."/>
  </r>
  <r>
    <s v="S1-048"/>
    <x v="11"/>
    <x v="1"/>
    <s v="Alberta"/>
    <s v="Stationary combustion"/>
    <s v="Natural gas"/>
    <n v="12580"/>
    <s v="m³"/>
    <s v="EF-S1-NG-AB"/>
    <n v="1.9723110000000001"/>
    <s v="kg CO₂e/m³"/>
    <n v="24811.672380000004"/>
    <n v="24.811672380000005"/>
    <s v="Gas utility invoice (sample), December 2026"/>
    <s v="Building heating, marketable natural gas."/>
  </r>
  <r>
    <s v="S1-049"/>
    <x v="0"/>
    <x v="1"/>
    <s v="Alberta"/>
    <s v="Mobile combustion"/>
    <s v="Motor gasoline"/>
    <n v="2160"/>
    <s v="L"/>
    <s v="EF-S1-GAS"/>
    <n v="2.3151000000000002"/>
    <s v="kg CO₂e/L"/>
    <n v="5000.616"/>
    <n v="5.0006159999999999"/>
    <s v="Fleet fuel card statement (sample), January 2026"/>
    <s v="Company owned passenger vehicles."/>
  </r>
  <r>
    <s v="S1-050"/>
    <x v="1"/>
    <x v="1"/>
    <s v="Alberta"/>
    <s v="Mobile combustion"/>
    <s v="Motor gasoline"/>
    <n v="2090"/>
    <s v="L"/>
    <s v="EF-S1-GAS"/>
    <n v="2.3151000000000002"/>
    <s v="kg CO₂e/L"/>
    <n v="4838.5590000000002"/>
    <n v="4.8385590000000001"/>
    <s v="Fleet fuel card statement (sample), February 2026"/>
    <s v="Company owned passenger vehicles."/>
  </r>
  <r>
    <s v="S1-051"/>
    <x v="2"/>
    <x v="1"/>
    <s v="Alberta"/>
    <s v="Mobile combustion"/>
    <s v="Motor gasoline"/>
    <n v="2090"/>
    <s v="L"/>
    <s v="EF-S1-GAS"/>
    <n v="2.3151000000000002"/>
    <s v="kg CO₂e/L"/>
    <n v="4838.5590000000002"/>
    <n v="4.8385590000000001"/>
    <s v="Fleet fuel card statement (sample), March 2026"/>
    <s v="Company owned passenger vehicles."/>
  </r>
  <r>
    <s v="S1-052"/>
    <x v="3"/>
    <x v="1"/>
    <s v="Alberta"/>
    <s v="Mobile combustion"/>
    <s v="Motor gasoline"/>
    <n v="2170"/>
    <s v="L"/>
    <s v="EF-S1-GAS"/>
    <n v="2.3151000000000002"/>
    <s v="kg CO₂e/L"/>
    <n v="5023.7670000000007"/>
    <n v="5.0237670000000003"/>
    <s v="Fleet fuel card statement (sample), April 2026"/>
    <s v="Company owned passenger vehicles."/>
  </r>
  <r>
    <s v="S1-053"/>
    <x v="4"/>
    <x v="1"/>
    <s v="Alberta"/>
    <s v="Mobile combustion"/>
    <s v="Motor gasoline"/>
    <n v="2310"/>
    <s v="L"/>
    <s v="EF-S1-GAS"/>
    <n v="2.3151000000000002"/>
    <s v="kg CO₂e/L"/>
    <n v="5347.8810000000003"/>
    <n v="5.3478810000000001"/>
    <s v="Fleet fuel card statement (sample), May 2026"/>
    <s v="Company owned passenger vehicles."/>
  </r>
  <r>
    <s v="S1-054"/>
    <x v="5"/>
    <x v="1"/>
    <s v="Alberta"/>
    <s v="Mobile combustion"/>
    <s v="Motor gasoline"/>
    <n v="2310"/>
    <s v="L"/>
    <s v="EF-S1-GAS"/>
    <n v="2.3151000000000002"/>
    <s v="kg CO₂e/L"/>
    <n v="5347.8810000000003"/>
    <n v="5.3478810000000001"/>
    <s v="Fleet fuel card statement (sample), June 2026"/>
    <s v="Company owned passenger vehicles."/>
  </r>
  <r>
    <s v="S1-055"/>
    <x v="6"/>
    <x v="1"/>
    <s v="Alberta"/>
    <s v="Mobile combustion"/>
    <s v="Motor gasoline"/>
    <n v="2360"/>
    <s v="L"/>
    <s v="EF-S1-GAS"/>
    <n v="2.3151000000000002"/>
    <s v="kg CO₂e/L"/>
    <n v="5463.6360000000004"/>
    <n v="5.4636360000000002"/>
    <s v="Fleet fuel card statement (sample), July 2026"/>
    <s v="Company owned passenger vehicles."/>
  </r>
  <r>
    <s v="S1-056"/>
    <x v="7"/>
    <x v="1"/>
    <s v="Alberta"/>
    <s v="Mobile combustion"/>
    <s v="Motor gasoline"/>
    <n v="2430"/>
    <s v="L"/>
    <s v="EF-S1-GAS"/>
    <n v="2.3151000000000002"/>
    <s v="kg CO₂e/L"/>
    <n v="5625.6930000000002"/>
    <n v="5.6256930000000001"/>
    <s v="Fleet fuel card statement (sample), August 2026"/>
    <s v="Company owned passenger vehicles."/>
  </r>
  <r>
    <s v="S1-057"/>
    <x v="8"/>
    <x v="1"/>
    <s v="Alberta"/>
    <s v="Mobile combustion"/>
    <s v="Motor gasoline"/>
    <n v="2360"/>
    <s v="L"/>
    <s v="EF-S1-GAS"/>
    <n v="2.3151000000000002"/>
    <s v="kg CO₂e/L"/>
    <n v="5463.6360000000004"/>
    <n v="5.4636360000000002"/>
    <s v="Fleet fuel card statement (sample), September 2026"/>
    <s v="Company owned passenger vehicles."/>
  </r>
  <r>
    <s v="S1-058"/>
    <x v="9"/>
    <x v="1"/>
    <s v="Alberta"/>
    <s v="Mobile combustion"/>
    <s v="Motor gasoline"/>
    <n v="2180"/>
    <s v="L"/>
    <s v="EF-S1-GAS"/>
    <n v="2.3151000000000002"/>
    <s v="kg CO₂e/L"/>
    <n v="5046.9180000000006"/>
    <n v="5.0469180000000007"/>
    <s v="Fleet fuel card statement (sample), October 2026"/>
    <s v="Company owned passenger vehicles."/>
  </r>
  <r>
    <s v="S1-059"/>
    <x v="10"/>
    <x v="1"/>
    <s v="Alberta"/>
    <s v="Mobile combustion"/>
    <s v="Motor gasoline"/>
    <n v="2120"/>
    <s v="L"/>
    <s v="EF-S1-GAS"/>
    <n v="2.3151000000000002"/>
    <s v="kg CO₂e/L"/>
    <n v="4908.0120000000006"/>
    <n v="4.9080120000000003"/>
    <s v="Fleet fuel card statement (sample), November 2026"/>
    <s v="Company owned passenger vehicles."/>
  </r>
  <r>
    <s v="S1-060"/>
    <x v="11"/>
    <x v="1"/>
    <s v="Alberta"/>
    <s v="Mobile combustion"/>
    <s v="Motor gasoline"/>
    <n v="2120"/>
    <s v="L"/>
    <s v="EF-S1-GAS"/>
    <n v="2.3151000000000002"/>
    <s v="kg CO₂e/L"/>
    <n v="4908.0120000000006"/>
    <n v="4.9080120000000003"/>
    <s v="Fleet fuel card statement (sample), December 2026"/>
    <s v="Company owned passenger vehicles."/>
  </r>
  <r>
    <s v="S1-061"/>
    <x v="0"/>
    <x v="1"/>
    <s v="Alberta"/>
    <s v="Mobile combustion"/>
    <s v="Diesel"/>
    <n v="1570"/>
    <s v="L"/>
    <s v="EF-S1-DSL"/>
    <n v="2.6890140000000002"/>
    <s v="kg CO₂e/L"/>
    <n v="4221.75198"/>
    <n v="4.2217519799999996"/>
    <s v="Fleet fuel card statement (sample), January 2026"/>
    <s v="Company owned light trucks, field survey work."/>
  </r>
  <r>
    <s v="S1-062"/>
    <x v="1"/>
    <x v="1"/>
    <s v="Alberta"/>
    <s v="Mobile combustion"/>
    <s v="Diesel"/>
    <n v="1520"/>
    <s v="L"/>
    <s v="EF-S1-DSL"/>
    <n v="2.6890140000000002"/>
    <s v="kg CO₂e/L"/>
    <n v="4087.3012800000006"/>
    <n v="4.0873012800000001"/>
    <s v="Fleet fuel card statement (sample), February 2026"/>
    <s v="Company owned light trucks, field survey work."/>
  </r>
  <r>
    <s v="S1-063"/>
    <x v="2"/>
    <x v="1"/>
    <s v="Alberta"/>
    <s v="Mobile combustion"/>
    <s v="Diesel"/>
    <n v="1520"/>
    <s v="L"/>
    <s v="EF-S1-DSL"/>
    <n v="2.6890140000000002"/>
    <s v="kg CO₂e/L"/>
    <n v="4087.3012800000006"/>
    <n v="4.0873012800000001"/>
    <s v="Fleet fuel card statement (sample), March 2026"/>
    <s v="Company owned light trucks, field survey work."/>
  </r>
  <r>
    <s v="S1-064"/>
    <x v="3"/>
    <x v="1"/>
    <s v="Alberta"/>
    <s v="Mobile combustion"/>
    <s v="Diesel"/>
    <n v="1590"/>
    <s v="L"/>
    <s v="EF-S1-DSL"/>
    <n v="2.6890140000000002"/>
    <s v="kg CO₂e/L"/>
    <n v="4275.53226"/>
    <n v="4.2755322600000003"/>
    <s v="Fleet fuel card statement (sample), April 2026"/>
    <s v="Company owned light trucks, field survey work."/>
  </r>
  <r>
    <s v="S1-065"/>
    <x v="4"/>
    <x v="1"/>
    <s v="Alberta"/>
    <s v="Mobile combustion"/>
    <s v="Diesel"/>
    <n v="1690"/>
    <s v="L"/>
    <s v="EF-S1-DSL"/>
    <n v="2.6890140000000002"/>
    <s v="kg CO₂e/L"/>
    <n v="4544.4336600000006"/>
    <n v="4.544433660000001"/>
    <s v="Fleet fuel card statement (sample), May 2026"/>
    <s v="Company owned light trucks, field survey work."/>
  </r>
  <r>
    <s v="S1-066"/>
    <x v="5"/>
    <x v="1"/>
    <s v="Alberta"/>
    <s v="Mobile combustion"/>
    <s v="Diesel"/>
    <n v="1690"/>
    <s v="L"/>
    <s v="EF-S1-DSL"/>
    <n v="2.6890140000000002"/>
    <s v="kg CO₂e/L"/>
    <n v="4544.4336600000006"/>
    <n v="4.544433660000001"/>
    <s v="Fleet fuel card statement (sample), June 2026"/>
    <s v="Company owned light trucks, field survey work."/>
  </r>
  <r>
    <s v="S1-067"/>
    <x v="6"/>
    <x v="1"/>
    <s v="Alberta"/>
    <s v="Mobile combustion"/>
    <s v="Diesel"/>
    <n v="1730"/>
    <s v="L"/>
    <s v="EF-S1-DSL"/>
    <n v="2.6890140000000002"/>
    <s v="kg CO₂e/L"/>
    <n v="4651.9942200000005"/>
    <n v="4.6519942200000006"/>
    <s v="Fleet fuel card statement (sample), July 2026"/>
    <s v="Company owned light trucks, field survey work."/>
  </r>
  <r>
    <s v="S1-068"/>
    <x v="7"/>
    <x v="1"/>
    <s v="Alberta"/>
    <s v="Mobile combustion"/>
    <s v="Diesel"/>
    <n v="1780"/>
    <s v="L"/>
    <s v="EF-S1-DSL"/>
    <n v="2.6890140000000002"/>
    <s v="kg CO₂e/L"/>
    <n v="4786.4449200000008"/>
    <n v="4.786444920000001"/>
    <s v="Fleet fuel card statement (sample), August 2026"/>
    <s v="Company owned light trucks, field survey work."/>
  </r>
  <r>
    <s v="S1-069"/>
    <x v="8"/>
    <x v="1"/>
    <s v="Alberta"/>
    <s v="Mobile combustion"/>
    <s v="Diesel"/>
    <n v="1730"/>
    <s v="L"/>
    <s v="EF-S1-DSL"/>
    <n v="2.6890140000000002"/>
    <s v="kg CO₂e/L"/>
    <n v="4651.9942200000005"/>
    <n v="4.6519942200000006"/>
    <s v="Fleet fuel card statement (sample), September 2026"/>
    <s v="Company owned light trucks, field survey work."/>
  </r>
  <r>
    <s v="S1-070"/>
    <x v="9"/>
    <x v="1"/>
    <s v="Alberta"/>
    <s v="Mobile combustion"/>
    <s v="Diesel"/>
    <n v="1530"/>
    <s v="L"/>
    <s v="EF-S1-DSL"/>
    <n v="2.6890140000000002"/>
    <s v="kg CO₂e/L"/>
    <n v="4114.1914200000001"/>
    <n v="4.11419142"/>
    <s v="Fleet fuel card statement (sample), October 2026"/>
    <s v="Company owned light trucks, field survey work."/>
  </r>
  <r>
    <s v="S1-071"/>
    <x v="10"/>
    <x v="1"/>
    <s v="Alberta"/>
    <s v="Mobile combustion"/>
    <s v="Diesel"/>
    <n v="1490"/>
    <s v="L"/>
    <s v="EF-S1-DSL"/>
    <n v="2.6890140000000002"/>
    <s v="kg CO₂e/L"/>
    <n v="4006.6308600000002"/>
    <n v="4.0066308600000005"/>
    <s v="Fleet fuel card statement (sample), November 2026"/>
    <s v="Company owned light trucks, field survey work."/>
  </r>
  <r>
    <s v="S1-072"/>
    <x v="11"/>
    <x v="1"/>
    <s v="Alberta"/>
    <s v="Mobile combustion"/>
    <s v="Diesel"/>
    <n v="1490"/>
    <s v="L"/>
    <s v="EF-S1-DSL"/>
    <n v="2.6890140000000002"/>
    <s v="kg CO₂e/L"/>
    <n v="4006.6308600000002"/>
    <n v="4.0066308600000005"/>
    <s v="Fleet fuel card statement (sample), December 2026"/>
    <s v="Company owned light trucks, field survey work."/>
  </r>
  <r>
    <s v="S1-073"/>
    <x v="0"/>
    <x v="2"/>
    <s v="British Columbia"/>
    <s v="Stationary combustion"/>
    <s v="Natural gas"/>
    <n v="8350"/>
    <s v="m³"/>
    <s v="EF-S1-NG-BC"/>
    <n v="1.9763110000000002"/>
    <s v="kg CO₂e/m³"/>
    <n v="16502.19685"/>
    <n v="16.502196850000001"/>
    <s v="Gas utility invoice (sample), January 2026"/>
    <s v="Building heating, marketable natural gas."/>
  </r>
  <r>
    <s v="S1-074"/>
    <x v="1"/>
    <x v="2"/>
    <s v="British Columbia"/>
    <s v="Stationary combustion"/>
    <s v="Natural gas"/>
    <n v="7490"/>
    <s v="m³"/>
    <s v="EF-S1-NG-BC"/>
    <n v="1.9763110000000002"/>
    <s v="kg CO₂e/m³"/>
    <n v="14802.569390000001"/>
    <n v="14.80256939"/>
    <s v="Gas utility invoice (sample), February 2026"/>
    <s v="Building heating, marketable natural gas."/>
  </r>
  <r>
    <s v="S1-075"/>
    <x v="2"/>
    <x v="2"/>
    <s v="British Columbia"/>
    <s v="Stationary combustion"/>
    <s v="Natural gas"/>
    <n v="5560"/>
    <s v="m³"/>
    <s v="EF-S1-NG-BC"/>
    <n v="1.9763110000000002"/>
    <s v="kg CO₂e/m³"/>
    <n v="10988.28916"/>
    <n v="10.988289160000001"/>
    <s v="Gas utility invoice (sample), March 2026"/>
    <s v="Building heating, marketable natural gas."/>
  </r>
  <r>
    <s v="S1-076"/>
    <x v="3"/>
    <x v="2"/>
    <s v="British Columbia"/>
    <s v="Stationary combustion"/>
    <s v="Natural gas"/>
    <n v="4510"/>
    <s v="m³"/>
    <s v="EF-S1-NG-BC"/>
    <n v="1.9763110000000002"/>
    <s v="kg CO₂e/m³"/>
    <n v="8913.1626100000012"/>
    <n v="8.9131626100000005"/>
    <s v="Gas utility invoice (sample), April 2026"/>
    <s v="Building heating, marketable natural gas."/>
  </r>
  <r>
    <s v="S1-077"/>
    <x v="4"/>
    <x v="2"/>
    <s v="British Columbia"/>
    <s v="Stationary combustion"/>
    <s v="Natural gas"/>
    <n v="3230"/>
    <s v="m³"/>
    <s v="EF-S1-NG-BC"/>
    <n v="1.9763110000000002"/>
    <s v="kg CO₂e/m³"/>
    <n v="6383.4845300000006"/>
    <n v="6.3834845300000005"/>
    <s v="Gas utility invoice (sample), May 2026"/>
    <s v="Building heating, marketable natural gas."/>
  </r>
  <r>
    <s v="S1-078"/>
    <x v="5"/>
    <x v="2"/>
    <s v="British Columbia"/>
    <s v="Stationary combustion"/>
    <s v="Natural gas"/>
    <n v="2060"/>
    <s v="m³"/>
    <s v="EF-S1-NG-BC"/>
    <n v="1.9763110000000002"/>
    <s v="kg CO₂e/m³"/>
    <n v="4071.2006600000004"/>
    <n v="4.0712006600000006"/>
    <s v="Gas utility invoice (sample), June 2026"/>
    <s v="Building heating, marketable natural gas."/>
  </r>
  <r>
    <s v="S1-079"/>
    <x v="6"/>
    <x v="2"/>
    <s v="British Columbia"/>
    <s v="Stationary combustion"/>
    <s v="Natural gas"/>
    <n v="1080"/>
    <s v="m³"/>
    <s v="EF-S1-NG-BC"/>
    <n v="1.9763110000000002"/>
    <s v="kg CO₂e/m³"/>
    <n v="2134.41588"/>
    <n v="2.1344158800000002"/>
    <s v="Gas utility invoice (sample), July 2026"/>
    <s v="Building heating, marketable natural gas."/>
  </r>
  <r>
    <s v="S1-080"/>
    <x v="7"/>
    <x v="2"/>
    <s v="British Columbia"/>
    <s v="Stationary combustion"/>
    <s v="Natural gas"/>
    <n v="1150"/>
    <s v="m³"/>
    <s v="EF-S1-NG-BC"/>
    <n v="1.9763110000000002"/>
    <s v="kg CO₂e/m³"/>
    <n v="2272.75765"/>
    <n v="2.27275765"/>
    <s v="Gas utility invoice (sample), August 2026"/>
    <s v="Building heating, marketable natural gas."/>
  </r>
  <r>
    <s v="S1-081"/>
    <x v="8"/>
    <x v="2"/>
    <s v="British Columbia"/>
    <s v="Stationary combustion"/>
    <s v="Natural gas"/>
    <n v="1370"/>
    <s v="m³"/>
    <s v="EF-S1-NG-BC"/>
    <n v="1.9763110000000002"/>
    <s v="kg CO₂e/m³"/>
    <n v="2707.5460700000003"/>
    <n v="2.7075460700000002"/>
    <s v="Gas utility invoice (sample), September 2026"/>
    <s v="Building heating, marketable natural gas."/>
  </r>
  <r>
    <s v="S1-082"/>
    <x v="9"/>
    <x v="2"/>
    <s v="British Columbia"/>
    <s v="Stationary combustion"/>
    <s v="Natural gas"/>
    <n v="3560"/>
    <s v="m³"/>
    <s v="EF-S1-NG-BC"/>
    <n v="1.9763110000000002"/>
    <s v="kg CO₂e/m³"/>
    <n v="7035.6671600000009"/>
    <n v="7.0356671600000009"/>
    <s v="Gas utility invoice (sample), October 2026"/>
    <s v="Building heating, marketable natural gas."/>
  </r>
  <r>
    <s v="S1-083"/>
    <x v="10"/>
    <x v="2"/>
    <s v="British Columbia"/>
    <s v="Stationary combustion"/>
    <s v="Natural gas"/>
    <n v="5510"/>
    <s v="m³"/>
    <s v="EF-S1-NG-BC"/>
    <n v="1.9763110000000002"/>
    <s v="kg CO₂e/m³"/>
    <n v="10889.473610000001"/>
    <n v="10.889473610000001"/>
    <s v="Gas utility invoice (sample), November 2026"/>
    <s v="Building heating, marketable natural gas."/>
  </r>
  <r>
    <s v="S1-084"/>
    <x v="11"/>
    <x v="2"/>
    <s v="British Columbia"/>
    <s v="Stationary combustion"/>
    <s v="Natural gas"/>
    <n v="7130"/>
    <s v="m³"/>
    <s v="EF-S1-NG-BC"/>
    <n v="1.9763110000000002"/>
    <s v="kg CO₂e/m³"/>
    <n v="14091.097430000002"/>
    <n v="14.091097430000001"/>
    <s v="Gas utility invoice (sample), December 2026"/>
    <s v="Building heating, marketable natural gas."/>
  </r>
  <r>
    <s v="S1-085"/>
    <x v="0"/>
    <x v="2"/>
    <s v="British Columbia"/>
    <s v="Mobile combustion"/>
    <s v="Motor gasoline"/>
    <n v="1090"/>
    <s v="L"/>
    <s v="EF-S1-GAS"/>
    <n v="2.3151000000000002"/>
    <s v="kg CO₂e/L"/>
    <n v="2523.4590000000003"/>
    <n v="2.5234590000000003"/>
    <s v="Fleet fuel card statement (sample), January 2026"/>
    <s v="Company owned passenger vehicles. No diesel vehicles at this site."/>
  </r>
  <r>
    <s v="S1-086"/>
    <x v="1"/>
    <x v="2"/>
    <s v="British Columbia"/>
    <s v="Mobile combustion"/>
    <s v="Motor gasoline"/>
    <n v="1060"/>
    <s v="L"/>
    <s v="EF-S1-GAS"/>
    <n v="2.3151000000000002"/>
    <s v="kg CO₂e/L"/>
    <n v="2454.0060000000003"/>
    <n v="2.4540060000000001"/>
    <s v="Fleet fuel card statement (sample), February 2026"/>
    <s v="Company owned passenger vehicles. No diesel vehicles at this site."/>
  </r>
  <r>
    <s v="S1-087"/>
    <x v="2"/>
    <x v="2"/>
    <s v="British Columbia"/>
    <s v="Mobile combustion"/>
    <s v="Motor gasoline"/>
    <n v="1060"/>
    <s v="L"/>
    <s v="EF-S1-GAS"/>
    <n v="2.3151000000000002"/>
    <s v="kg CO₂e/L"/>
    <n v="2454.0060000000003"/>
    <n v="2.4540060000000001"/>
    <s v="Fleet fuel card statement (sample), March 2026"/>
    <s v="Company owned passenger vehicles. No diesel vehicles at this site."/>
  </r>
  <r>
    <s v="S1-088"/>
    <x v="3"/>
    <x v="2"/>
    <s v="British Columbia"/>
    <s v="Mobile combustion"/>
    <s v="Motor gasoline"/>
    <n v="1110"/>
    <s v="L"/>
    <s v="EF-S1-GAS"/>
    <n v="2.3151000000000002"/>
    <s v="kg CO₂e/L"/>
    <n v="2569.761"/>
    <n v="2.5697610000000002"/>
    <s v="Fleet fuel card statement (sample), April 2026"/>
    <s v="Company owned passenger vehicles. No diesel vehicles at this site."/>
  </r>
  <r>
    <s v="S1-089"/>
    <x v="4"/>
    <x v="2"/>
    <s v="British Columbia"/>
    <s v="Mobile combustion"/>
    <s v="Motor gasoline"/>
    <n v="1180"/>
    <s v="L"/>
    <s v="EF-S1-GAS"/>
    <n v="2.3151000000000002"/>
    <s v="kg CO₂e/L"/>
    <n v="2731.8180000000002"/>
    <n v="2.7318180000000001"/>
    <s v="Fleet fuel card statement (sample), May 2026"/>
    <s v="Company owned passenger vehicles. No diesel vehicles at this site."/>
  </r>
  <r>
    <s v="S1-090"/>
    <x v="5"/>
    <x v="2"/>
    <s v="British Columbia"/>
    <s v="Mobile combustion"/>
    <s v="Motor gasoline"/>
    <n v="1180"/>
    <s v="L"/>
    <s v="EF-S1-GAS"/>
    <n v="2.3151000000000002"/>
    <s v="kg CO₂e/L"/>
    <n v="2731.8180000000002"/>
    <n v="2.7318180000000001"/>
    <s v="Fleet fuel card statement (sample), June 2026"/>
    <s v="Company owned passenger vehicles. No diesel vehicles at this site."/>
  </r>
  <r>
    <s v="S1-091"/>
    <x v="6"/>
    <x v="2"/>
    <s v="British Columbia"/>
    <s v="Mobile combustion"/>
    <s v="Motor gasoline"/>
    <n v="1220"/>
    <s v="L"/>
    <s v="EF-S1-GAS"/>
    <n v="2.3151000000000002"/>
    <s v="kg CO₂e/L"/>
    <n v="2824.422"/>
    <n v="2.8244220000000002"/>
    <s v="Fleet fuel card statement (sample), July 2026"/>
    <s v="Company owned passenger vehicles. No diesel vehicles at this site."/>
  </r>
  <r>
    <s v="S1-092"/>
    <x v="7"/>
    <x v="2"/>
    <s v="British Columbia"/>
    <s v="Mobile combustion"/>
    <s v="Motor gasoline"/>
    <n v="1250"/>
    <s v="L"/>
    <s v="EF-S1-GAS"/>
    <n v="2.3151000000000002"/>
    <s v="kg CO₂e/L"/>
    <n v="2893.875"/>
    <n v="2.893875"/>
    <s v="Fleet fuel card statement (sample), August 2026"/>
    <s v="Company owned passenger vehicles. No diesel vehicles at this site."/>
  </r>
  <r>
    <s v="S1-093"/>
    <x v="8"/>
    <x v="2"/>
    <s v="British Columbia"/>
    <s v="Mobile combustion"/>
    <s v="Motor gasoline"/>
    <n v="1220"/>
    <s v="L"/>
    <s v="EF-S1-GAS"/>
    <n v="2.3151000000000002"/>
    <s v="kg CO₂e/L"/>
    <n v="2824.422"/>
    <n v="2.8244220000000002"/>
    <s v="Fleet fuel card statement (sample), September 2026"/>
    <s v="Company owned passenger vehicles. No diesel vehicles at this site."/>
  </r>
  <r>
    <s v="S1-094"/>
    <x v="9"/>
    <x v="2"/>
    <s v="British Columbia"/>
    <s v="Mobile combustion"/>
    <s v="Motor gasoline"/>
    <n v="1070"/>
    <s v="L"/>
    <s v="EF-S1-GAS"/>
    <n v="2.3151000000000002"/>
    <s v="kg CO₂e/L"/>
    <n v="2477.1570000000002"/>
    <n v="2.4771570000000001"/>
    <s v="Fleet fuel card statement (sample), October 2026"/>
    <s v="Company owned passenger vehicles. No diesel vehicles at this site."/>
  </r>
  <r>
    <s v="S1-095"/>
    <x v="10"/>
    <x v="2"/>
    <s v="British Columbia"/>
    <s v="Mobile combustion"/>
    <s v="Motor gasoline"/>
    <n v="1040"/>
    <s v="L"/>
    <s v="EF-S1-GAS"/>
    <n v="2.3151000000000002"/>
    <s v="kg CO₂e/L"/>
    <n v="2407.7040000000002"/>
    <n v="2.4077040000000003"/>
    <s v="Fleet fuel card statement (sample), November 2026"/>
    <s v="Company owned passenger vehicles. No diesel vehicles at this site."/>
  </r>
  <r>
    <s v="S1-096"/>
    <x v="11"/>
    <x v="2"/>
    <s v="British Columbia"/>
    <s v="Mobile combustion"/>
    <s v="Motor gasoline"/>
    <n v="1040"/>
    <s v="L"/>
    <s v="EF-S1-GAS"/>
    <n v="2.3151000000000002"/>
    <s v="kg CO₂e/L"/>
    <n v="2407.7040000000002"/>
    <n v="2.4077040000000003"/>
    <s v="Fleet fuel card statement (sample), December 2026"/>
    <s v="Company owned passenger vehicles. No diesel vehicles at this sit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s v="S2-001"/>
    <x v="0"/>
    <x v="0"/>
    <s v="Ontario"/>
    <n v="60000"/>
    <s v="kWh"/>
    <s v="EF-S2-ELEC-ON"/>
    <n v="5.8999999999999997E-2"/>
    <s v="kg CO₂e/kWh"/>
    <n v="3540"/>
    <n v="3.54"/>
    <s v="Electricity utility invoice (sample), January 2026"/>
    <s v="Ontario grid intensity is low because of nuclear and hydro generation."/>
  </r>
  <r>
    <s v="S2-002"/>
    <x v="1"/>
    <x v="0"/>
    <s v="Ontario"/>
    <n v="61000"/>
    <s v="kWh"/>
    <s v="EF-S2-ELEC-ON"/>
    <n v="5.8999999999999997E-2"/>
    <s v="kg CO₂e/kWh"/>
    <n v="3599"/>
    <n v="3.5990000000000002"/>
    <s v="Electricity utility invoice (sample), February 2026"/>
    <s v="Ontario grid intensity is low because of nuclear and hydro generation."/>
  </r>
  <r>
    <s v="S2-003"/>
    <x v="2"/>
    <x v="0"/>
    <s v="Ontario"/>
    <n v="65000"/>
    <s v="kWh"/>
    <s v="EF-S2-ELEC-ON"/>
    <n v="5.8999999999999997E-2"/>
    <s v="kg CO₂e/kWh"/>
    <n v="3835"/>
    <n v="3.835"/>
    <s v="Electricity utility invoice (sample), March 2026"/>
    <s v="Ontario grid intensity is low because of nuclear and hydro generation."/>
  </r>
  <r>
    <s v="S2-004"/>
    <x v="3"/>
    <x v="0"/>
    <s v="Ontario"/>
    <n v="66000"/>
    <s v="kWh"/>
    <s v="EF-S2-ELEC-ON"/>
    <n v="5.8999999999999997E-2"/>
    <s v="kg CO₂e/kWh"/>
    <n v="3894"/>
    <n v="3.8940000000000001"/>
    <s v="Electricity utility invoice (sample), April 2026"/>
    <s v="Ontario grid intensity is low because of nuclear and hydro generation."/>
  </r>
  <r>
    <s v="S2-005"/>
    <x v="4"/>
    <x v="0"/>
    <s v="Ontario"/>
    <n v="67000"/>
    <s v="kWh"/>
    <s v="EF-S2-ELEC-ON"/>
    <n v="5.8999999999999997E-2"/>
    <s v="kg CO₂e/kWh"/>
    <n v="3953"/>
    <n v="3.9529999999999998"/>
    <s v="Electricity utility invoice (sample), May 2026"/>
    <s v="Ontario grid intensity is low because of nuclear and hydro generation."/>
  </r>
  <r>
    <s v="S2-006"/>
    <x v="5"/>
    <x v="0"/>
    <s v="Ontario"/>
    <n v="68000"/>
    <s v="kWh"/>
    <s v="EF-S2-ELEC-ON"/>
    <n v="5.8999999999999997E-2"/>
    <s v="kg CO₂e/kWh"/>
    <n v="4012"/>
    <n v="4.0119999999999996"/>
    <s v="Electricity utility invoice (sample), June 2026"/>
    <s v="Ontario grid intensity is low because of nuclear and hydro generation."/>
  </r>
  <r>
    <s v="S2-007"/>
    <x v="6"/>
    <x v="0"/>
    <s v="Ontario"/>
    <n v="76000"/>
    <s v="kWh"/>
    <s v="EF-S2-ELEC-ON"/>
    <n v="5.8999999999999997E-2"/>
    <s v="kg CO₂e/kWh"/>
    <n v="4484"/>
    <n v="4.484"/>
    <s v="Electricity utility invoice (sample), July 2026"/>
    <s v="Ontario grid intensity is low because of nuclear and hydro generation."/>
  </r>
  <r>
    <s v="S2-008"/>
    <x v="7"/>
    <x v="0"/>
    <s v="Ontario"/>
    <n v="80000"/>
    <s v="kWh"/>
    <s v="EF-S2-ELEC-ON"/>
    <n v="5.8999999999999997E-2"/>
    <s v="kg CO₂e/kWh"/>
    <n v="4720"/>
    <n v="4.72"/>
    <s v="Electricity utility invoice (sample), August 2026"/>
    <s v="Ontario grid intensity is low because of nuclear and hydro generation."/>
  </r>
  <r>
    <s v="S2-009"/>
    <x v="8"/>
    <x v="0"/>
    <s v="Ontario"/>
    <n v="82000"/>
    <s v="kWh"/>
    <s v="EF-S2-ELEC-ON"/>
    <n v="5.8999999999999997E-2"/>
    <s v="kg CO₂e/kWh"/>
    <n v="4838"/>
    <n v="4.8380000000000001"/>
    <s v="Electricity utility invoice (sample), September 2026"/>
    <s v="Ontario grid intensity is low because of nuclear and hydro generation."/>
  </r>
  <r>
    <s v="S2-010"/>
    <x v="9"/>
    <x v="0"/>
    <s v="Ontario"/>
    <n v="67000"/>
    <s v="kWh"/>
    <s v="EF-S2-ELEC-ON"/>
    <n v="5.8999999999999997E-2"/>
    <s v="kg CO₂e/kWh"/>
    <n v="3953"/>
    <n v="3.9529999999999998"/>
    <s v="Electricity utility invoice (sample), October 2026"/>
    <s v="Ontario grid intensity is low because of nuclear and hydro generation."/>
  </r>
  <r>
    <s v="S2-011"/>
    <x v="10"/>
    <x v="0"/>
    <s v="Ontario"/>
    <n v="64000"/>
    <s v="kWh"/>
    <s v="EF-S2-ELEC-ON"/>
    <n v="5.8999999999999997E-2"/>
    <s v="kg CO₂e/kWh"/>
    <n v="3776"/>
    <n v="3.7759999999999998"/>
    <s v="Electricity utility invoice (sample), November 2026"/>
    <s v="Ontario grid intensity is low because of nuclear and hydro generation."/>
  </r>
  <r>
    <s v="S2-012"/>
    <x v="11"/>
    <x v="0"/>
    <s v="Ontario"/>
    <n v="61000"/>
    <s v="kWh"/>
    <s v="EF-S2-ELEC-ON"/>
    <n v="5.8999999999999997E-2"/>
    <s v="kg CO₂e/kWh"/>
    <n v="3599"/>
    <n v="3.5990000000000002"/>
    <s v="Electricity utility invoice (sample), December 2026"/>
    <s v="Ontario grid intensity is low because of nuclear and hydro generation."/>
  </r>
  <r>
    <s v="S2-013"/>
    <x v="0"/>
    <x v="1"/>
    <s v="Alberta"/>
    <n v="45000"/>
    <s v="kWh"/>
    <s v="EF-S2-ELEC-AB"/>
    <n v="0.438"/>
    <s v="kg CO₂e/kWh"/>
    <n v="19710"/>
    <n v="19.71"/>
    <s v="Electricity utility invoice (sample), January 2026"/>
    <s v="Alberta grid intensity is the highest of the three provinces in this inventory."/>
  </r>
  <r>
    <s v="S2-014"/>
    <x v="1"/>
    <x v="1"/>
    <s v="Alberta"/>
    <n v="47000"/>
    <s v="kWh"/>
    <s v="EF-S2-ELEC-AB"/>
    <n v="0.438"/>
    <s v="kg CO₂e/kWh"/>
    <n v="20586"/>
    <n v="20.585999999999999"/>
    <s v="Electricity utility invoice (sample), February 2026"/>
    <s v="Alberta grid intensity is the highest of the three provinces in this inventory."/>
  </r>
  <r>
    <s v="S2-015"/>
    <x v="2"/>
    <x v="1"/>
    <s v="Alberta"/>
    <n v="50000"/>
    <s v="kWh"/>
    <s v="EF-S2-ELEC-AB"/>
    <n v="0.438"/>
    <s v="kg CO₂e/kWh"/>
    <n v="21900"/>
    <n v="21.9"/>
    <s v="Electricity utility invoice (sample), March 2026"/>
    <s v="Alberta grid intensity is the highest of the three provinces in this inventory."/>
  </r>
  <r>
    <s v="S2-016"/>
    <x v="3"/>
    <x v="1"/>
    <s v="Alberta"/>
    <n v="49000"/>
    <s v="kWh"/>
    <s v="EF-S2-ELEC-AB"/>
    <n v="0.438"/>
    <s v="kg CO₂e/kWh"/>
    <n v="21462"/>
    <n v="21.462"/>
    <s v="Electricity utility invoice (sample), April 2026"/>
    <s v="Alberta grid intensity is the highest of the three provinces in this inventory."/>
  </r>
  <r>
    <s v="S2-017"/>
    <x v="4"/>
    <x v="1"/>
    <s v="Alberta"/>
    <n v="50000"/>
    <s v="kWh"/>
    <s v="EF-S2-ELEC-AB"/>
    <n v="0.438"/>
    <s v="kg CO₂e/kWh"/>
    <n v="21900"/>
    <n v="21.9"/>
    <s v="Electricity utility invoice (sample), May 2026"/>
    <s v="Alberta grid intensity is the highest of the three provinces in this inventory."/>
  </r>
  <r>
    <s v="S2-018"/>
    <x v="5"/>
    <x v="1"/>
    <s v="Alberta"/>
    <n v="52000"/>
    <s v="kWh"/>
    <s v="EF-S2-ELEC-AB"/>
    <n v="0.438"/>
    <s v="kg CO₂e/kWh"/>
    <n v="22776"/>
    <n v="22.776"/>
    <s v="Electricity utility invoice (sample), June 2026"/>
    <s v="Alberta grid intensity is the highest of the three provinces in this inventory."/>
  </r>
  <r>
    <s v="S2-019"/>
    <x v="6"/>
    <x v="1"/>
    <s v="Alberta"/>
    <n v="56000"/>
    <s v="kWh"/>
    <s v="EF-S2-ELEC-AB"/>
    <n v="0.438"/>
    <s v="kg CO₂e/kWh"/>
    <n v="24528"/>
    <n v="24.527999999999999"/>
    <s v="Electricity utility invoice (sample), July 2026"/>
    <s v="Alberta grid intensity is the highest of the three provinces in this inventory."/>
  </r>
  <r>
    <s v="S2-020"/>
    <x v="7"/>
    <x v="1"/>
    <s v="Alberta"/>
    <n v="59000"/>
    <s v="kWh"/>
    <s v="EF-S2-ELEC-AB"/>
    <n v="0.438"/>
    <s v="kg CO₂e/kWh"/>
    <n v="25842"/>
    <n v="25.841999999999999"/>
    <s v="Electricity utility invoice (sample), August 2026"/>
    <s v="Alberta grid intensity is the highest of the three provinces in this inventory."/>
  </r>
  <r>
    <s v="S2-021"/>
    <x v="8"/>
    <x v="1"/>
    <s v="Alberta"/>
    <n v="63000"/>
    <s v="kWh"/>
    <s v="EF-S2-ELEC-AB"/>
    <n v="0.438"/>
    <s v="kg CO₂e/kWh"/>
    <n v="27594"/>
    <n v="27.594000000000001"/>
    <s v="Electricity utility invoice (sample), September 2026"/>
    <s v="Alberta grid intensity is the highest of the three provinces in this inventory."/>
  </r>
  <r>
    <s v="S2-022"/>
    <x v="9"/>
    <x v="1"/>
    <s v="Alberta"/>
    <n v="52000"/>
    <s v="kWh"/>
    <s v="EF-S2-ELEC-AB"/>
    <n v="0.438"/>
    <s v="kg CO₂e/kWh"/>
    <n v="22776"/>
    <n v="22.776"/>
    <s v="Electricity utility invoice (sample), October 2026"/>
    <s v="Alberta grid intensity is the highest of the three provinces in this inventory."/>
  </r>
  <r>
    <s v="S2-023"/>
    <x v="10"/>
    <x v="1"/>
    <s v="Alberta"/>
    <n v="49000"/>
    <s v="kWh"/>
    <s v="EF-S2-ELEC-AB"/>
    <n v="0.438"/>
    <s v="kg CO₂e/kWh"/>
    <n v="21462"/>
    <n v="21.462"/>
    <s v="Electricity utility invoice (sample), November 2026"/>
    <s v="Alberta grid intensity is the highest of the three provinces in this inventory."/>
  </r>
  <r>
    <s v="S2-024"/>
    <x v="11"/>
    <x v="1"/>
    <s v="Alberta"/>
    <n v="47000"/>
    <s v="kWh"/>
    <s v="EF-S2-ELEC-AB"/>
    <n v="0.438"/>
    <s v="kg CO₂e/kWh"/>
    <n v="20586"/>
    <n v="20.585999999999999"/>
    <s v="Electricity utility invoice (sample), December 2026"/>
    <s v="Alberta grid intensity is the highest of the three provinces in this inventory."/>
  </r>
  <r>
    <s v="S2-025"/>
    <x v="0"/>
    <x v="2"/>
    <s v="British Columbia"/>
    <n v="32000"/>
    <s v="kWh"/>
    <s v="EF-S2-ELEC-BC"/>
    <n v="1.7999999999999999E-2"/>
    <s v="kg CO₂e/kWh"/>
    <n v="576"/>
    <n v="0.57599999999999996"/>
    <s v="Electricity utility invoice (sample), January 2026"/>
    <s v="British Columbia grid is almost entirely hydroelectric."/>
  </r>
  <r>
    <s v="S2-026"/>
    <x v="1"/>
    <x v="2"/>
    <s v="British Columbia"/>
    <n v="32000"/>
    <s v="kWh"/>
    <s v="EF-S2-ELEC-BC"/>
    <n v="1.7999999999999999E-2"/>
    <s v="kg CO₂e/kWh"/>
    <n v="576"/>
    <n v="0.57599999999999996"/>
    <s v="Electricity utility invoice (sample), February 2026"/>
    <s v="British Columbia grid is almost entirely hydroelectric."/>
  </r>
  <r>
    <s v="S2-027"/>
    <x v="2"/>
    <x v="2"/>
    <s v="British Columbia"/>
    <n v="34000"/>
    <s v="kWh"/>
    <s v="EF-S2-ELEC-BC"/>
    <n v="1.7999999999999999E-2"/>
    <s v="kg CO₂e/kWh"/>
    <n v="612"/>
    <n v="0.61199999999999999"/>
    <s v="Electricity utility invoice (sample), March 2026"/>
    <s v="British Columbia grid is almost entirely hydroelectric."/>
  </r>
  <r>
    <s v="S2-028"/>
    <x v="3"/>
    <x v="2"/>
    <s v="British Columbia"/>
    <n v="34000"/>
    <s v="kWh"/>
    <s v="EF-S2-ELEC-BC"/>
    <n v="1.7999999999999999E-2"/>
    <s v="kg CO₂e/kWh"/>
    <n v="612"/>
    <n v="0.61199999999999999"/>
    <s v="Electricity utility invoice (sample), April 2026"/>
    <s v="British Columbia grid is almost entirely hydroelectric."/>
  </r>
  <r>
    <s v="S2-029"/>
    <x v="4"/>
    <x v="2"/>
    <s v="British Columbia"/>
    <n v="35000"/>
    <s v="kWh"/>
    <s v="EF-S2-ELEC-BC"/>
    <n v="1.7999999999999999E-2"/>
    <s v="kg CO₂e/kWh"/>
    <n v="630"/>
    <n v="0.63"/>
    <s v="Electricity utility invoice (sample), May 2026"/>
    <s v="British Columbia grid is almost entirely hydroelectric."/>
  </r>
  <r>
    <s v="S2-030"/>
    <x v="5"/>
    <x v="2"/>
    <s v="British Columbia"/>
    <n v="35000"/>
    <s v="kWh"/>
    <s v="EF-S2-ELEC-BC"/>
    <n v="1.7999999999999999E-2"/>
    <s v="kg CO₂e/kWh"/>
    <n v="630"/>
    <n v="0.63"/>
    <s v="Electricity utility invoice (sample), June 2026"/>
    <s v="British Columbia grid is almost entirely hydroelectric."/>
  </r>
  <r>
    <s v="S2-031"/>
    <x v="6"/>
    <x v="2"/>
    <s v="British Columbia"/>
    <n v="39000"/>
    <s v="kWh"/>
    <s v="EF-S2-ELEC-BC"/>
    <n v="1.7999999999999999E-2"/>
    <s v="kg CO₂e/kWh"/>
    <n v="702"/>
    <n v="0.70199999999999996"/>
    <s v="Electricity utility invoice (sample), July 2026"/>
    <s v="British Columbia grid is almost entirely hydroelectric."/>
  </r>
  <r>
    <s v="S2-032"/>
    <x v="7"/>
    <x v="2"/>
    <s v="British Columbia"/>
    <n v="40000"/>
    <s v="kWh"/>
    <s v="EF-S2-ELEC-BC"/>
    <n v="1.7999999999999999E-2"/>
    <s v="kg CO₂e/kWh"/>
    <n v="720"/>
    <n v="0.72"/>
    <s v="Electricity utility invoice (sample), August 2026"/>
    <s v="British Columbia grid is almost entirely hydroelectric."/>
  </r>
  <r>
    <s v="S2-033"/>
    <x v="8"/>
    <x v="2"/>
    <s v="British Columbia"/>
    <n v="42000"/>
    <s v="kWh"/>
    <s v="EF-S2-ELEC-BC"/>
    <n v="1.7999999999999999E-2"/>
    <s v="kg CO₂e/kWh"/>
    <n v="755.99999999999989"/>
    <n v="0.75599999999999989"/>
    <s v="Electricity utility invoice (sample), September 2026"/>
    <s v="British Columbia grid is almost entirely hydroelectric."/>
  </r>
  <r>
    <s v="S2-034"/>
    <x v="9"/>
    <x v="2"/>
    <s v="British Columbia"/>
    <n v="35000"/>
    <s v="kWh"/>
    <s v="EF-S2-ELEC-BC"/>
    <n v="1.7999999999999999E-2"/>
    <s v="kg CO₂e/kWh"/>
    <n v="630"/>
    <n v="0.63"/>
    <s v="Electricity utility invoice (sample), October 2026"/>
    <s v="British Columbia grid is almost entirely hydroelectric."/>
  </r>
  <r>
    <s v="S2-035"/>
    <x v="10"/>
    <x v="2"/>
    <s v="British Columbia"/>
    <n v="34000"/>
    <s v="kWh"/>
    <s v="EF-S2-ELEC-BC"/>
    <n v="1.7999999999999999E-2"/>
    <s v="kg CO₂e/kWh"/>
    <n v="612"/>
    <n v="0.61199999999999999"/>
    <s v="Electricity utility invoice (sample), November 2026"/>
    <s v="British Columbia grid is almost entirely hydroelectric."/>
  </r>
  <r>
    <s v="S2-036"/>
    <x v="11"/>
    <x v="2"/>
    <s v="British Columbia"/>
    <n v="32000"/>
    <s v="kWh"/>
    <s v="EF-S2-ELEC-BC"/>
    <n v="1.7999999999999999E-2"/>
    <s v="kg CO₂e/kWh"/>
    <n v="576"/>
    <n v="0.57599999999999996"/>
    <s v="Electricity utility invoice (sample), December 2026"/>
    <s v="British Columbia grid is almost entirely hydroelectri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4E03E7-54E7-4BC5-BD1C-05C0F7F8213F}" name="PivotTable5" cacheId="0" applyNumberFormats="0" applyBorderFormats="0" applyFontFormats="0" applyPatternFormats="0" applyAlignmentFormats="0" applyWidthHeightFormats="1" dataCaption="Values" missingCaption="0" updatedVersion="8" minRefreshableVersion="3" itemPrintTitles="1" createdVersion="8" indent="0" outline="1" outlineData="1" multipleFieldFilters="0" chartFormat="6">
  <location ref="B110:F124" firstHeaderRow="1" firstDataRow="2" firstDataCol="1"/>
  <pivotFields count="17">
    <pivotField showAll="0"/>
    <pivotField axis="axisRow" numFmtId="166" showAll="0">
      <items count="13">
        <item x="0"/>
        <item x="1"/>
        <item x="2"/>
        <item x="3"/>
        <item x="4"/>
        <item x="5"/>
        <item x="6"/>
        <item x="7"/>
        <item x="8"/>
        <item x="9"/>
        <item x="10"/>
        <item x="11"/>
        <item t="default"/>
      </items>
    </pivotField>
    <pivotField axis="axisCol" showAll="0">
      <items count="4">
        <item x="1"/>
        <item x="0"/>
        <item x="2"/>
        <item t="default"/>
      </items>
    </pivotField>
    <pivotField showAll="0"/>
    <pivotField showAll="0"/>
    <pivotField showAll="0"/>
    <pivotField numFmtId="3" showAll="0"/>
    <pivotField showAll="0"/>
    <pivotField showAll="0"/>
    <pivotField numFmtId="167" showAll="0"/>
    <pivotField showAll="0"/>
    <pivotField numFmtId="3" showAll="0"/>
    <pivotField dataField="1" numFmtId="4"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6"/>
    <field x="15"/>
    <field x="1"/>
  </rowFields>
  <rowItems count="13">
    <i>
      <x v="1"/>
    </i>
    <i>
      <x v="2"/>
    </i>
    <i>
      <x v="3"/>
    </i>
    <i>
      <x v="4"/>
    </i>
    <i>
      <x v="5"/>
    </i>
    <i>
      <x v="6"/>
    </i>
    <i>
      <x v="7"/>
    </i>
    <i>
      <x v="8"/>
    </i>
    <i>
      <x v="9"/>
    </i>
    <i>
      <x v="10"/>
    </i>
    <i>
      <x v="11"/>
    </i>
    <i>
      <x v="12"/>
    </i>
    <i t="grand">
      <x/>
    </i>
  </rowItems>
  <colFields count="1">
    <field x="2"/>
  </colFields>
  <colItems count="4">
    <i>
      <x/>
    </i>
    <i>
      <x v="1"/>
    </i>
    <i>
      <x v="2"/>
    </i>
    <i t="grand">
      <x/>
    </i>
  </colItems>
  <dataFields count="1">
    <dataField name="Sum of tCO₂e" fld="12" baseField="0" baseItem="0" numFmtId="4"/>
  </dataFields>
  <formats count="2">
    <format dxfId="55">
      <pivotArea dataOnly="0" labelOnly="1" fieldPosition="0">
        <references count="1">
          <reference field="2" count="0"/>
        </references>
      </pivotArea>
    </format>
    <format dxfId="54">
      <pivotArea dataOnly="0" labelOnly="1" grandCol="1" outline="0" fieldPosition="0"/>
    </format>
  </formats>
  <chartFormats count="3">
    <chartFormat chart="2" format="9" series="1">
      <pivotArea type="data" outline="0" fieldPosition="0">
        <references count="2">
          <reference field="4294967294" count="1" selected="0">
            <x v="0"/>
          </reference>
          <reference field="2" count="1" selected="0">
            <x v="0"/>
          </reference>
        </references>
      </pivotArea>
    </chartFormat>
    <chartFormat chart="2" format="10" series="1">
      <pivotArea type="data" outline="0" fieldPosition="0">
        <references count="2">
          <reference field="4294967294" count="1" selected="0">
            <x v="0"/>
          </reference>
          <reference field="2" count="1" selected="0">
            <x v="1"/>
          </reference>
        </references>
      </pivotArea>
    </chartFormat>
    <chartFormat chart="2" format="11"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A88A1B-3790-45E9-AEE7-B8C2F0E9393E}"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B51:F65" firstHeaderRow="1" firstDataRow="2" firstDataCol="1"/>
  <pivotFields count="15">
    <pivotField showAll="0"/>
    <pivotField axis="axisRow" numFmtId="166" showAll="0">
      <items count="13">
        <item x="0"/>
        <item x="1"/>
        <item x="2"/>
        <item x="3"/>
        <item x="4"/>
        <item x="5"/>
        <item x="6"/>
        <item x="7"/>
        <item x="8"/>
        <item x="9"/>
        <item x="10"/>
        <item x="11"/>
        <item t="default"/>
      </items>
    </pivotField>
    <pivotField axis="axisCol" showAll="0">
      <items count="4">
        <item x="1"/>
        <item x="0"/>
        <item x="2"/>
        <item t="default"/>
      </items>
    </pivotField>
    <pivotField showAll="0"/>
    <pivotField numFmtId="3" showAll="0"/>
    <pivotField showAll="0"/>
    <pivotField showAll="0"/>
    <pivotField numFmtId="167" showAll="0"/>
    <pivotField showAll="0"/>
    <pivotField numFmtId="3" showAll="0"/>
    <pivotField dataField="1" numFmtId="4"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4"/>
    <field x="13"/>
    <field x="1"/>
  </rowFields>
  <rowItems count="13">
    <i>
      <x v="1"/>
    </i>
    <i>
      <x v="2"/>
    </i>
    <i>
      <x v="3"/>
    </i>
    <i>
      <x v="4"/>
    </i>
    <i>
      <x v="5"/>
    </i>
    <i>
      <x v="6"/>
    </i>
    <i>
      <x v="7"/>
    </i>
    <i>
      <x v="8"/>
    </i>
    <i>
      <x v="9"/>
    </i>
    <i>
      <x v="10"/>
    </i>
    <i>
      <x v="11"/>
    </i>
    <i>
      <x v="12"/>
    </i>
    <i t="grand">
      <x/>
    </i>
  </rowItems>
  <colFields count="1">
    <field x="2"/>
  </colFields>
  <colItems count="4">
    <i>
      <x/>
    </i>
    <i>
      <x v="1"/>
    </i>
    <i>
      <x v="2"/>
    </i>
    <i t="grand">
      <x/>
    </i>
  </colItems>
  <dataFields count="1">
    <dataField name="Sum of tCO₂e" fld="10" baseField="0" baseItem="0" numFmtId="4"/>
  </dataFields>
  <chartFormats count="6">
    <chartFormat chart="0" format="3" series="1">
      <pivotArea type="data" outline="0" fieldPosition="0">
        <references count="1">
          <reference field="2" count="1" selected="0">
            <x v="0"/>
          </reference>
        </references>
      </pivotArea>
    </chartFormat>
    <chartFormat chart="0" format="4" series="1">
      <pivotArea type="data" outline="0" fieldPosition="0">
        <references count="1">
          <reference field="2" count="1" selected="0">
            <x v="1"/>
          </reference>
        </references>
      </pivotArea>
    </chartFormat>
    <chartFormat chart="0" format="5" series="1">
      <pivotArea type="data" outline="0" fieldPosition="0">
        <references count="1">
          <reference field="2" count="1" selected="0">
            <x v="2"/>
          </reference>
        </references>
      </pivotArea>
    </chartFormat>
    <chartFormat chart="0" format="6" series="1">
      <pivotArea type="data" outline="0" fieldPosition="0">
        <references count="2">
          <reference field="4294967294" count="1" selected="0">
            <x v="0"/>
          </reference>
          <reference field="2" count="1" selected="0">
            <x v="0"/>
          </reference>
        </references>
      </pivotArea>
    </chartFormat>
    <chartFormat chart="0" format="7" series="1">
      <pivotArea type="data" outline="0" fieldPosition="0">
        <references count="2">
          <reference field="4294967294" count="1" selected="0">
            <x v="0"/>
          </reference>
          <reference field="2" count="1" selected="0">
            <x v="1"/>
          </reference>
        </references>
      </pivotArea>
    </chartFormat>
    <chartFormat chart="0"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blScope1" displayName="tblScope1" ref="B5:P101" totalsRowShown="0">
  <autoFilter ref="B5:P101" xr:uid="{00000000-0009-0000-0100-000003000000}"/>
  <sortState xmlns:xlrd2="http://schemas.microsoft.com/office/spreadsheetml/2017/richdata2" ref="B6:P37">
    <sortCondition descending="1" ref="C5:C37"/>
  </sortState>
  <tableColumns count="15">
    <tableColumn id="1" xr3:uid="{00000000-0010-0000-0000-000001000000}" name="Record ID" dataDxfId="53"/>
    <tableColumn id="2" xr3:uid="{00000000-0010-0000-0000-000002000000}" name="Date"/>
    <tableColumn id="3" xr3:uid="{00000000-0010-0000-0000-000003000000}" name="Facility" dataDxfId="52"/>
    <tableColumn id="4" xr3:uid="{00000000-0010-0000-0000-000004000000}" name="Province"/>
    <tableColumn id="5" xr3:uid="{00000000-0010-0000-0000-000005000000}" name="Emission Source" dataDxfId="51"/>
    <tableColumn id="6" xr3:uid="{00000000-0010-0000-0000-000006000000}" name="Activity / Fuel" dataDxfId="50"/>
    <tableColumn id="7" xr3:uid="{00000000-0010-0000-0000-000007000000}" name="Activity Data"/>
    <tableColumn id="8" xr3:uid="{00000000-0010-0000-0000-000008000000}" name="Unit"/>
    <tableColumn id="9" xr3:uid="{00000000-0010-0000-0000-000009000000}" name="EF ID"/>
    <tableColumn id="10" xr3:uid="{00000000-0010-0000-0000-00000A000000}" name="Aggregated Emission Factor" dataDxfId="49">
      <calculatedColumnFormula>_xlfn.XLOOKUP(tblScope1[[#This Row],[EF ID]],tblEF[EF ID],tblEF[Aggregated EF],"To check",0)</calculatedColumnFormula>
    </tableColumn>
    <tableColumn id="11" xr3:uid="{00000000-0010-0000-0000-00000B000000}" name="EF Unit">
      <calculatedColumnFormula>_xlfn.XLOOKUP(tblScope1[[#This Row],[EF ID]],tblEF[EF ID],tblEF[Aggregated EF Unit],"To check",0)</calculatedColumnFormula>
    </tableColumn>
    <tableColumn id="12" xr3:uid="{00000000-0010-0000-0000-00000C000000}" name="kg CO₂e" dataDxfId="38"/>
    <tableColumn id="13" xr3:uid="{00000000-0010-0000-0000-00000D000000}" name="tCO₂e" dataDxfId="37"/>
    <tableColumn id="14" xr3:uid="{00000000-0010-0000-0000-00000E000000}" name="Data Source / Evidence"/>
    <tableColumn id="15" xr3:uid="{00000000-0010-0000-0000-00000F000000}" name="Notes" dataDxfId="4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blScope2" displayName="tblScope2" ref="B5:N41" totalsRowShown="0">
  <autoFilter ref="B5:N41" xr:uid="{00000000-0009-0000-0100-000004000000}"/>
  <tableColumns count="13">
    <tableColumn id="1" xr3:uid="{00000000-0010-0000-0100-000001000000}" name="Record ID" dataDxfId="47"/>
    <tableColumn id="2" xr3:uid="{00000000-0010-0000-0100-000002000000}" name="Date"/>
    <tableColumn id="3" xr3:uid="{00000000-0010-0000-0100-000003000000}" name="Facility"/>
    <tableColumn id="4" xr3:uid="{00000000-0010-0000-0100-000004000000}" name="Province"/>
    <tableColumn id="5" xr3:uid="{00000000-0010-0000-0100-000005000000}" name="Electricity Consumption"/>
    <tableColumn id="6" xr3:uid="{00000000-0010-0000-0100-000006000000}" name="Unit"/>
    <tableColumn id="7" xr3:uid="{00000000-0010-0000-0100-000007000000}" name="EF ID"/>
    <tableColumn id="8" xr3:uid="{00000000-0010-0000-0100-000008000000}" name="Electricity Emission Factor">
      <calculatedColumnFormula>_xlfn.XLOOKUP(tblScope2[[#This Row],[EF ID]],tblEF[EF ID],tblEF[Aggregated EF],"To check",0)</calculatedColumnFormula>
    </tableColumn>
    <tableColumn id="9" xr3:uid="{00000000-0010-0000-0100-000009000000}" name="EF Unit">
      <calculatedColumnFormula>_xlfn.XLOOKUP(tblScope2[[#This Row],[EF ID]],tblEF[EF ID],tblEF[Aggregated EF Unit],"To check",0)</calculatedColumnFormula>
    </tableColumn>
    <tableColumn id="10" xr3:uid="{00000000-0010-0000-0100-00000A000000}" name="kg CO₂e" dataDxfId="46">
      <calculatedColumnFormula>IF(ISNUMBER($I6),$F6*$I6,"Check EF ID")</calculatedColumnFormula>
    </tableColumn>
    <tableColumn id="11" xr3:uid="{00000000-0010-0000-0100-00000B000000}" name="tCO₂e" dataDxfId="45">
      <calculatedColumnFormula>IF(ISNUMBER($K6),$K6/1000,"Check EF ID")</calculatedColumnFormula>
    </tableColumn>
    <tableColumn id="12" xr3:uid="{00000000-0010-0000-0100-00000C000000}" name="Data Source / Evidence"/>
    <tableColumn id="13" xr3:uid="{00000000-0010-0000-0100-00000D000000}" name="Notes" dataDxfId="4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blEF" displayName="tblEF" ref="B5:W13" totalsRowShown="0" tableBorderDxfId="43">
  <autoFilter ref="B5:W13" xr:uid="{00000000-0009-0000-0100-000001000000}"/>
  <tableColumns count="22">
    <tableColumn id="1" xr3:uid="{00000000-0010-0000-0200-000001000000}" name="EF ID"/>
    <tableColumn id="2" xr3:uid="{00000000-0010-0000-0200-000002000000}" name="Scope"/>
    <tableColumn id="3" xr3:uid="{00000000-0010-0000-0200-000003000000}" name="Emission Source"/>
    <tableColumn id="4" xr3:uid="{00000000-0010-0000-0200-000004000000}" name="Activity / Fuel"/>
    <tableColumn id="5" xr3:uid="{00000000-0010-0000-0200-000005000000}" name="Province / Territory"/>
    <tableColumn id="6" xr3:uid="{00000000-0010-0000-0200-000006000000}" name="Original EF Unit"/>
    <tableColumn id="7" xr3:uid="{00000000-0010-0000-0200-000007000000}" name="CO₂ EF"/>
    <tableColumn id="8" xr3:uid="{00000000-0010-0000-0200-000008000000}" name="CH₄ EF"/>
    <tableColumn id="9" xr3:uid="{00000000-0010-0000-0200-000009000000}" name="N₂O EF"/>
    <tableColumn id="10" xr3:uid="{00000000-0010-0000-0200-00000A000000}" name="Published CO₂e EF"/>
    <tableColumn id="11" xr3:uid="{00000000-0010-0000-0200-00000B000000}" name="CO₂ GWP"/>
    <tableColumn id="12" xr3:uid="{00000000-0010-0000-0200-00000C000000}" name="CH₄ GWP"/>
    <tableColumn id="13" xr3:uid="{00000000-0010-0000-0200-00000D000000}" name="N₂O GWP"/>
    <tableColumn id="14" xr3:uid="{00000000-0010-0000-0200-00000E000000}" name="Aggregated EF"/>
    <tableColumn id="15" xr3:uid="{00000000-0010-0000-0200-00000F000000}" name="Aggregated EF Unit"/>
    <tableColumn id="16" xr3:uid="{00000000-0010-0000-0200-000010000000}" name="EF Basis"/>
    <tableColumn id="17" xr3:uid="{00000000-0010-0000-0200-000011000000}" name="Applicable Calendar Year"/>
    <tableColumn id="18" xr3:uid="{00000000-0010-0000-0200-000012000000}" name="Source Organization" dataDxfId="42"/>
    <tableColumn id="19" xr3:uid="{00000000-0010-0000-0200-000013000000}" name="Source Document" dataDxfId="41"/>
    <tableColumn id="20" xr3:uid="{00000000-0010-0000-0200-000014000000}" name="Source Table"/>
    <tableColumn id="21" xr3:uid="{00000000-0010-0000-0200-000015000000}" name="Source URL"/>
    <tableColumn id="22" xr3:uid="{00000000-0010-0000-0200-000016000000}" name="Note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blGWP" displayName="tblGWP" ref="B5:G8" totalsRowShown="0">
  <autoFilter ref="B5:G8" xr:uid="{00000000-0009-0000-0100-000002000000}"/>
  <tableColumns count="6">
    <tableColumn id="1" xr3:uid="{00000000-0010-0000-0300-000001000000}" name="Greenhouse Gas" dataDxfId="40"/>
    <tableColumn id="2" xr3:uid="{00000000-0010-0000-0300-000002000000}" name="Chemical Formula"/>
    <tableColumn id="3" xr3:uid="{00000000-0010-0000-0300-000003000000}" name="GWP"/>
    <tableColumn id="4" xr3:uid="{00000000-0010-0000-0300-000004000000}" name="Source"/>
    <tableColumn id="5" xr3:uid="{00000000-0010-0000-0300-000005000000}" name="Applicable Year / Version"/>
    <tableColumn id="6" xr3:uid="{00000000-0010-0000-0300-000006000000}" name="Source URL" dataDxfId="39"/>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eme/themeOverride1.xml><?xml version="1.0" encoding="utf-8"?>
<a:themeOverride xmlns:a="http://schemas.openxmlformats.org/drawingml/2006/main">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Overrid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57410827-6568-43CA-890D-9950958497D0}">
  <we:reference id="WA200010725" version="1.0.0.1" store="Omex" storeType="OMEX"/>
  <we:alternateReferences>
    <we:reference id="WA200010725" version="1.0.0.1" store="WA200010725" storeType="OMEX"/>
  </we:alternateReferences>
  <we:properties>
    <we:property name="claude.fileId" value="&quot;54ced95b-e47d-41bb-90f7-7c6a1b934c27&quot;"/>
  </we:properties>
  <we:bindings/>
  <we:snapshot xmlns:r="http://schemas.openxmlformats.org/officeDocument/2006/relationships"/>
</we:webextension>
</file>

<file path=xl/webextensions/webextension2.xml><?xml version="1.0" encoding="utf-8"?>
<we:webextension xmlns:we="http://schemas.microsoft.com/office/webextensions/webextension/2010/11" id="{EDA18DDD-F2E3-4067-BEAF-1C6692644984}">
  <we:reference id="WA200010215" version="2.0.0.0" store="Omex" storeType="OMEX"/>
  <we:alternateReferences>
    <we:reference id="WA200010215" version="2.0.0.0" store="WA200010215" storeType="OMEX"/>
  </we:alternateReferences>
  <we:properties>
    <we:property name="bps.codex_control.document_id" value="&quot;ddc6040e-ed54-4185-b40d-742ae8ffde7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2.vml"/><Relationship Id="rId1" Type="http://schemas.openxmlformats.org/officeDocument/2006/relationships/hyperlink" Target="https://www.canada.ca/en/environment-climate-change/services/climate-change/pricing-pollution-how-it-will-work/output-based-pricing-system/federal-greenhouse-gas-offset-system/emission-factors-reference-values.html" TargetMode="Externa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G101"/>
  <sheetViews>
    <sheetView showGridLines="0" showRowColHeaders="0" zoomScale="130" zoomScaleNormal="130" workbookViewId="0">
      <selection activeCell="BG37" sqref="BG37"/>
    </sheetView>
  </sheetViews>
  <sheetFormatPr defaultColWidth="8.7109375" defaultRowHeight="15" x14ac:dyDescent="0.25"/>
  <cols>
    <col min="1" max="1" width="6" customWidth="1"/>
    <col min="2" max="2" width="2.7109375" customWidth="1"/>
    <col min="3" max="3" width="4.42578125" bestFit="1" customWidth="1"/>
    <col min="4" max="4" width="7.7109375" customWidth="1"/>
    <col min="5" max="12" width="4.42578125" bestFit="1" customWidth="1"/>
    <col min="13" max="13" width="13.85546875" customWidth="1"/>
    <col min="14" max="14" width="20.5703125" customWidth="1"/>
    <col min="15" max="25" width="2.7109375" customWidth="1"/>
    <col min="26" max="26" width="7" customWidth="1"/>
    <col min="27" max="49" width="2.7109375" customWidth="1"/>
    <col min="50" max="50" width="1.140625" customWidth="1"/>
    <col min="54" max="54" width="0" hidden="1" customWidth="1"/>
    <col min="55" max="55" width="8.7109375" customWidth="1"/>
  </cols>
  <sheetData>
    <row r="1" spans="1:55" ht="4.5" customHeight="1" x14ac:dyDescent="0.3">
      <c r="A1" s="182"/>
      <c r="B1" s="182"/>
      <c r="C1" s="182"/>
      <c r="D1" s="182"/>
      <c r="E1" s="182"/>
      <c r="F1" s="182"/>
      <c r="G1" s="182"/>
      <c r="H1" s="182"/>
      <c r="I1" s="182"/>
      <c r="J1" s="182"/>
      <c r="K1" s="182"/>
      <c r="L1" s="182"/>
      <c r="M1" s="182"/>
      <c r="N1" s="182"/>
      <c r="O1" s="182"/>
      <c r="P1" s="182"/>
      <c r="Q1" s="182"/>
      <c r="R1" s="182"/>
      <c r="S1" s="182"/>
      <c r="T1" s="182"/>
      <c r="U1" s="182"/>
      <c r="V1" s="182"/>
      <c r="W1" s="182"/>
      <c r="X1" s="182"/>
      <c r="Y1" s="182"/>
      <c r="Z1" s="182"/>
      <c r="AA1" s="182"/>
      <c r="AB1" s="182"/>
      <c r="AC1" s="182"/>
      <c r="AD1" s="182"/>
      <c r="AE1" s="182"/>
      <c r="AF1" s="182"/>
      <c r="AG1" s="182"/>
      <c r="AH1" s="182"/>
      <c r="AI1" s="182"/>
      <c r="AJ1" s="182"/>
      <c r="AK1" s="182"/>
      <c r="AL1" s="182"/>
      <c r="AM1" s="182"/>
      <c r="AN1" s="182"/>
      <c r="AO1" s="182"/>
      <c r="AP1" s="182"/>
      <c r="AQ1" s="182"/>
      <c r="AR1" s="182"/>
      <c r="AS1" s="182"/>
      <c r="AT1" s="182"/>
      <c r="AU1" s="182"/>
      <c r="AV1" s="182"/>
      <c r="AW1" s="182"/>
      <c r="AX1" s="182"/>
      <c r="AY1" s="182"/>
      <c r="AZ1" s="182"/>
      <c r="BA1" s="182"/>
      <c r="BB1" s="183"/>
      <c r="BC1" s="183"/>
    </row>
    <row r="2" spans="1:55" ht="12" customHeight="1" x14ac:dyDescent="0.3">
      <c r="A2" s="182"/>
      <c r="B2" s="184" t="s">
        <v>251</v>
      </c>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2"/>
      <c r="AD2" s="185" t="str">
        <f>"Reporting year:   "&amp;$M$97</f>
        <v>Reporting year:   2026</v>
      </c>
      <c r="AE2" s="185"/>
      <c r="AF2" s="185"/>
      <c r="AG2" s="185"/>
      <c r="AH2" s="185"/>
      <c r="AI2" s="185"/>
      <c r="AJ2" s="185"/>
      <c r="AK2" s="185"/>
      <c r="AL2" s="185"/>
      <c r="AM2" s="185"/>
      <c r="AN2" s="185"/>
      <c r="AO2" s="185"/>
      <c r="AP2" s="185"/>
      <c r="AQ2" s="185"/>
      <c r="AR2" s="185"/>
      <c r="AS2" s="185"/>
      <c r="AT2" s="185"/>
      <c r="AU2" s="185"/>
      <c r="AV2" s="185"/>
      <c r="AW2" s="185"/>
      <c r="AX2" s="185"/>
      <c r="AY2" s="185"/>
      <c r="AZ2" s="185"/>
      <c r="BA2" s="185"/>
      <c r="BB2" s="183"/>
      <c r="BC2" s="183"/>
    </row>
    <row r="3" spans="1:55" ht="19.5" customHeight="1" x14ac:dyDescent="0.3">
      <c r="A3" s="182"/>
      <c r="B3" s="186" t="s">
        <v>408</v>
      </c>
      <c r="C3" s="187"/>
      <c r="D3" s="187"/>
      <c r="E3" s="187"/>
      <c r="F3" s="187"/>
      <c r="G3" s="187"/>
      <c r="H3" s="187"/>
      <c r="I3" s="187"/>
      <c r="J3" s="187"/>
      <c r="K3" s="187"/>
      <c r="L3" s="187"/>
      <c r="M3" s="187"/>
      <c r="N3" s="187"/>
      <c r="O3" s="187"/>
      <c r="P3" s="187"/>
      <c r="Q3" s="187"/>
      <c r="R3" s="187"/>
      <c r="S3" s="187"/>
      <c r="T3" s="187"/>
      <c r="U3" s="187"/>
      <c r="V3" s="187"/>
      <c r="W3" s="187"/>
      <c r="X3" s="187"/>
      <c r="Y3" s="187"/>
      <c r="Z3" s="187"/>
      <c r="AA3" s="187"/>
      <c r="AB3" s="187"/>
      <c r="AC3" s="182"/>
      <c r="AD3" s="188" t="s">
        <v>0</v>
      </c>
      <c r="AE3" s="188"/>
      <c r="AF3" s="188"/>
      <c r="AG3" s="188"/>
      <c r="AH3" s="188"/>
      <c r="AI3" s="188"/>
      <c r="AJ3" s="188"/>
      <c r="AK3" s="188"/>
      <c r="AL3" s="188"/>
      <c r="AM3" s="188"/>
      <c r="AN3" s="188"/>
      <c r="AO3" s="188"/>
      <c r="AP3" s="188"/>
      <c r="AQ3" s="188"/>
      <c r="AR3" s="188"/>
      <c r="AS3" s="188"/>
      <c r="AT3" s="188"/>
      <c r="AU3" s="188"/>
      <c r="AV3" s="188"/>
      <c r="AW3" s="188"/>
      <c r="AX3" s="188"/>
      <c r="AY3" s="188"/>
      <c r="AZ3" s="188"/>
      <c r="BA3" s="188"/>
      <c r="BB3" s="183"/>
      <c r="BC3" s="183"/>
    </row>
    <row r="4" spans="1:55" ht="15.75" customHeight="1" x14ac:dyDescent="0.3">
      <c r="A4" s="182"/>
      <c r="B4" s="189" t="s">
        <v>427</v>
      </c>
      <c r="C4" s="190"/>
      <c r="D4" s="190"/>
      <c r="E4" s="190"/>
      <c r="F4" s="190"/>
      <c r="G4" s="190"/>
      <c r="H4" s="190"/>
      <c r="I4" s="190"/>
      <c r="J4" s="190"/>
      <c r="K4" s="190"/>
      <c r="L4" s="190"/>
      <c r="M4" s="190"/>
      <c r="N4" s="190"/>
      <c r="O4" s="190"/>
      <c r="P4" s="190"/>
      <c r="Q4" s="190"/>
      <c r="R4" s="190"/>
      <c r="S4" s="190"/>
      <c r="T4" s="190"/>
      <c r="U4" s="190"/>
      <c r="V4" s="190"/>
      <c r="W4" s="190"/>
      <c r="X4" s="190"/>
      <c r="Y4" s="190"/>
      <c r="Z4" s="190"/>
      <c r="AA4" s="190"/>
      <c r="AB4" s="190"/>
      <c r="AC4" s="182"/>
      <c r="AD4" s="191" t="s">
        <v>429</v>
      </c>
      <c r="AE4" s="188"/>
      <c r="AF4" s="188"/>
      <c r="AG4" s="188"/>
      <c r="AH4" s="188"/>
      <c r="AI4" s="188"/>
      <c r="AJ4" s="188"/>
      <c r="AK4" s="188"/>
      <c r="AL4" s="188"/>
      <c r="AM4" s="188"/>
      <c r="AN4" s="188"/>
      <c r="AO4" s="188"/>
      <c r="AP4" s="188"/>
      <c r="AQ4" s="188"/>
      <c r="AR4" s="188"/>
      <c r="AS4" s="188"/>
      <c r="AT4" s="188"/>
      <c r="AU4" s="188"/>
      <c r="AV4" s="188"/>
      <c r="AW4" s="188"/>
      <c r="AX4" s="188"/>
      <c r="AY4" s="188"/>
      <c r="AZ4" s="188"/>
      <c r="BA4" s="188"/>
      <c r="BB4" s="183"/>
      <c r="BC4" s="183"/>
    </row>
    <row r="5" spans="1:55" ht="3" customHeight="1" x14ac:dyDescent="0.3">
      <c r="A5" s="111"/>
      <c r="B5" s="111"/>
      <c r="C5" s="111"/>
      <c r="D5" s="111"/>
      <c r="E5" s="111"/>
      <c r="F5" s="111"/>
      <c r="G5" s="111"/>
      <c r="H5" s="111"/>
      <c r="I5" s="111"/>
      <c r="J5" s="111"/>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c r="AY5" s="111"/>
      <c r="AZ5" s="111"/>
      <c r="BA5" s="111"/>
      <c r="BB5" s="104"/>
      <c r="BC5" s="96"/>
    </row>
    <row r="6" spans="1:55" ht="10.35" customHeight="1" x14ac:dyDescent="0.3">
      <c r="A6" s="107"/>
      <c r="B6" s="107"/>
      <c r="C6" s="107"/>
      <c r="D6" s="107"/>
      <c r="E6" s="107"/>
      <c r="F6" s="107"/>
      <c r="G6" s="107"/>
      <c r="H6" s="107"/>
      <c r="I6" s="107"/>
      <c r="J6" s="107"/>
      <c r="K6" s="107"/>
      <c r="L6" s="107"/>
      <c r="M6" s="107"/>
      <c r="N6" s="107"/>
      <c r="O6" s="107"/>
      <c r="P6" s="107"/>
      <c r="Q6" s="107"/>
      <c r="R6" s="107"/>
      <c r="S6" s="107"/>
      <c r="T6" s="107"/>
      <c r="U6" s="107"/>
      <c r="V6" s="107"/>
      <c r="W6" s="107"/>
      <c r="X6" s="107"/>
      <c r="Y6" s="107"/>
      <c r="Z6" s="107"/>
      <c r="AA6" s="107"/>
      <c r="AB6" s="107"/>
      <c r="AC6" s="107"/>
      <c r="AD6" s="107"/>
      <c r="AE6" s="107"/>
      <c r="AF6" s="107"/>
      <c r="AG6" s="107"/>
      <c r="AH6" s="107"/>
      <c r="AI6" s="107"/>
      <c r="AJ6" s="107"/>
      <c r="AK6" s="107"/>
      <c r="AL6" s="107"/>
      <c r="AM6" s="107"/>
      <c r="AN6" s="107"/>
      <c r="AO6" s="107"/>
      <c r="AP6" s="107"/>
      <c r="AQ6" s="107"/>
      <c r="AR6" s="107"/>
      <c r="AS6" s="107"/>
      <c r="AT6" s="107"/>
      <c r="AU6" s="107"/>
      <c r="AV6" s="107"/>
      <c r="AW6" s="107"/>
      <c r="AX6" s="107"/>
      <c r="AY6" s="108"/>
      <c r="AZ6" s="108"/>
      <c r="BA6" s="108"/>
      <c r="BB6" s="96"/>
      <c r="BC6" s="96"/>
    </row>
    <row r="7" spans="1:55" ht="3.95" customHeight="1" x14ac:dyDescent="0.3">
      <c r="A7" s="107"/>
      <c r="B7" s="109"/>
      <c r="C7" s="109"/>
      <c r="D7" s="109"/>
      <c r="E7" s="109"/>
      <c r="F7" s="109"/>
      <c r="G7" s="109"/>
      <c r="H7" s="109"/>
      <c r="I7" s="109"/>
      <c r="J7" s="109"/>
      <c r="K7" s="109"/>
      <c r="L7" s="109"/>
      <c r="M7" s="109"/>
      <c r="N7" s="109"/>
      <c r="O7" s="109"/>
      <c r="P7" s="109"/>
      <c r="Q7" s="109"/>
      <c r="R7" s="109"/>
      <c r="S7" s="109"/>
      <c r="T7" s="109"/>
      <c r="U7" s="109"/>
      <c r="V7" s="109"/>
      <c r="W7" s="109"/>
      <c r="X7" s="109"/>
      <c r="Y7" s="109"/>
      <c r="Z7" s="109"/>
      <c r="AA7" s="109"/>
      <c r="AF7" s="107"/>
      <c r="AG7" s="107"/>
      <c r="AH7" s="107"/>
      <c r="AI7" s="107"/>
      <c r="AJ7" s="107"/>
      <c r="AK7" s="107"/>
      <c r="AL7" s="107"/>
      <c r="AM7" s="107"/>
      <c r="AN7" s="107"/>
      <c r="AO7" s="107"/>
      <c r="AP7" s="107"/>
      <c r="AQ7" s="107"/>
      <c r="AR7" s="107"/>
      <c r="AS7" s="107"/>
      <c r="AT7" s="107"/>
      <c r="AU7" s="107"/>
      <c r="AV7" s="107"/>
      <c r="AW7" s="107"/>
      <c r="AX7" s="107"/>
      <c r="AY7" s="108"/>
      <c r="AZ7" s="108"/>
      <c r="BA7" s="108"/>
      <c r="BB7" s="96"/>
      <c r="BC7" s="96"/>
    </row>
    <row r="8" spans="1:55" ht="10.9" customHeight="1" x14ac:dyDescent="0.3">
      <c r="A8" s="107"/>
      <c r="B8" s="178"/>
      <c r="C8" s="178"/>
      <c r="D8" s="178"/>
      <c r="E8" s="178"/>
      <c r="F8" s="178"/>
      <c r="G8" s="178"/>
      <c r="H8" s="178"/>
      <c r="I8" s="178"/>
      <c r="J8" s="178"/>
      <c r="K8" s="178"/>
      <c r="L8" s="178"/>
      <c r="M8" s="178"/>
      <c r="N8" s="178"/>
      <c r="O8" s="178"/>
      <c r="P8" s="109"/>
      <c r="Q8" s="178"/>
      <c r="R8" s="178"/>
      <c r="S8" s="178"/>
      <c r="T8" s="178"/>
      <c r="U8" s="178"/>
      <c r="V8" s="178"/>
      <c r="W8" s="178"/>
      <c r="X8" s="178"/>
      <c r="Y8" s="178"/>
      <c r="Z8" s="178"/>
      <c r="AA8" s="109"/>
      <c r="AF8" s="107"/>
      <c r="AG8" s="107"/>
      <c r="AH8" s="107"/>
      <c r="AI8" s="107"/>
      <c r="AJ8" s="107"/>
      <c r="AK8" s="107"/>
      <c r="AL8" s="107"/>
      <c r="AM8" s="107"/>
      <c r="AN8" s="107"/>
      <c r="AO8" s="107"/>
      <c r="AP8" s="107"/>
      <c r="AQ8" s="107"/>
      <c r="AR8" s="107"/>
      <c r="AS8" s="107"/>
      <c r="AT8" s="107"/>
      <c r="AU8" s="107"/>
      <c r="AV8" s="107"/>
      <c r="AW8" s="107"/>
      <c r="AX8" s="107"/>
      <c r="AY8" s="108"/>
      <c r="AZ8" s="108"/>
      <c r="BA8" s="108"/>
      <c r="BB8" s="96"/>
      <c r="BC8" s="96"/>
    </row>
    <row r="9" spans="1:55" ht="21.95" customHeight="1" x14ac:dyDescent="0.3">
      <c r="A9" s="107"/>
      <c r="B9" s="179"/>
      <c r="C9" s="180"/>
      <c r="D9" s="180"/>
      <c r="E9" s="180"/>
      <c r="F9" s="180"/>
      <c r="G9" s="180"/>
      <c r="H9" s="180"/>
      <c r="I9" s="180"/>
      <c r="J9" s="180"/>
      <c r="K9" s="180"/>
      <c r="L9" s="180"/>
      <c r="M9" s="180"/>
      <c r="N9" s="180"/>
      <c r="O9" s="180"/>
      <c r="P9" s="109"/>
      <c r="Q9" s="179"/>
      <c r="R9" s="180"/>
      <c r="S9" s="180"/>
      <c r="T9" s="180"/>
      <c r="U9" s="180"/>
      <c r="V9" s="180"/>
      <c r="W9" s="180"/>
      <c r="X9" s="180"/>
      <c r="Y9" s="180"/>
      <c r="Z9" s="180"/>
      <c r="AA9" s="109"/>
      <c r="AF9" s="107"/>
      <c r="AG9" s="107"/>
      <c r="AH9" s="107"/>
      <c r="AI9" s="107"/>
      <c r="AJ9" s="107"/>
      <c r="AK9" s="107"/>
      <c r="AL9" s="107"/>
      <c r="AM9" s="107"/>
      <c r="AN9" s="107"/>
      <c r="AO9" s="107"/>
      <c r="AP9" s="107"/>
      <c r="AQ9" s="107"/>
      <c r="AR9" s="107"/>
      <c r="AS9" s="107"/>
      <c r="AT9" s="107"/>
      <c r="AU9" s="107"/>
      <c r="AV9" s="107"/>
      <c r="AW9" s="107"/>
      <c r="AX9" s="107"/>
      <c r="AY9" s="108"/>
      <c r="AZ9" s="108"/>
      <c r="BA9" s="108"/>
      <c r="BB9" s="96"/>
      <c r="BC9" s="96"/>
    </row>
    <row r="10" spans="1:55" ht="10.35" customHeight="1" x14ac:dyDescent="0.3">
      <c r="A10" s="107"/>
      <c r="B10" s="181"/>
      <c r="C10" s="181"/>
      <c r="D10" s="181"/>
      <c r="E10" s="181"/>
      <c r="F10" s="181"/>
      <c r="G10" s="181"/>
      <c r="H10" s="181"/>
      <c r="I10" s="181"/>
      <c r="J10" s="181"/>
      <c r="K10" s="181"/>
      <c r="L10" s="181"/>
      <c r="M10" s="181"/>
      <c r="N10" s="181"/>
      <c r="O10" s="181"/>
      <c r="P10" s="109"/>
      <c r="Q10" s="181"/>
      <c r="R10" s="181"/>
      <c r="S10" s="181"/>
      <c r="T10" s="181"/>
      <c r="U10" s="181"/>
      <c r="V10" s="181"/>
      <c r="W10" s="181"/>
      <c r="X10" s="181"/>
      <c r="Y10" s="181"/>
      <c r="Z10" s="181"/>
      <c r="AA10" s="109"/>
      <c r="AF10" s="107"/>
      <c r="AG10" s="107"/>
      <c r="AH10" s="107"/>
      <c r="AI10" s="107"/>
      <c r="AJ10" s="107"/>
      <c r="AK10" s="107"/>
      <c r="AL10" s="107"/>
      <c r="AM10" s="107"/>
      <c r="AN10" s="107"/>
      <c r="AO10" s="107"/>
      <c r="AP10" s="107"/>
      <c r="AQ10" s="107"/>
      <c r="AR10" s="107"/>
      <c r="AS10" s="107"/>
      <c r="AT10" s="107"/>
      <c r="AU10" s="107"/>
      <c r="AV10" s="107"/>
      <c r="AW10" s="107"/>
      <c r="AX10" s="107"/>
      <c r="AY10" s="108"/>
      <c r="AZ10" s="108"/>
      <c r="BA10" s="108"/>
      <c r="BB10" s="96"/>
      <c r="BC10" s="96"/>
    </row>
    <row r="11" spans="1:55" ht="5.0999999999999996" customHeight="1" x14ac:dyDescent="0.3">
      <c r="A11" s="107"/>
      <c r="B11" s="109"/>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F11" s="107"/>
      <c r="AG11" s="107"/>
      <c r="AH11" s="107"/>
      <c r="AI11" s="107"/>
      <c r="AJ11" s="107"/>
      <c r="AK11" s="107"/>
      <c r="AL11" s="107"/>
      <c r="AM11" s="107"/>
      <c r="AN11" s="107"/>
      <c r="AO11" s="107"/>
      <c r="AP11" s="107"/>
      <c r="AQ11" s="107"/>
      <c r="AR11" s="107"/>
      <c r="AS11" s="107"/>
      <c r="AT11" s="107"/>
      <c r="AU11" s="107"/>
      <c r="AV11" s="107"/>
      <c r="AW11" s="107"/>
      <c r="AX11" s="107"/>
      <c r="AY11" s="108"/>
      <c r="AZ11" s="108"/>
      <c r="BA11" s="108"/>
      <c r="BB11" s="96"/>
      <c r="BC11" s="96"/>
    </row>
    <row r="12" spans="1:55" ht="10.35" customHeight="1" x14ac:dyDescent="0.3">
      <c r="A12" s="107"/>
      <c r="B12" s="109"/>
      <c r="C12" s="109"/>
      <c r="D12" s="109"/>
      <c r="E12" s="109"/>
      <c r="F12" s="109"/>
      <c r="G12" s="109"/>
      <c r="H12" s="109"/>
      <c r="I12" s="109"/>
      <c r="J12" s="109"/>
      <c r="K12" s="109"/>
      <c r="L12" s="109"/>
      <c r="M12" s="109"/>
      <c r="N12" s="109"/>
      <c r="O12" s="109"/>
      <c r="P12" s="109"/>
      <c r="Q12" s="109"/>
      <c r="R12" s="109"/>
      <c r="S12" s="109"/>
      <c r="T12" s="109"/>
      <c r="U12" s="109"/>
      <c r="V12" s="109"/>
      <c r="W12" s="109"/>
      <c r="X12" s="109"/>
      <c r="Y12" s="109"/>
      <c r="Z12" s="109"/>
      <c r="AA12" s="109"/>
      <c r="AF12" s="107"/>
      <c r="AG12" s="107"/>
      <c r="AH12" s="107"/>
      <c r="AI12" s="107"/>
      <c r="AJ12" s="107"/>
      <c r="AK12" s="107"/>
      <c r="AL12" s="107"/>
      <c r="AM12" s="107"/>
      <c r="AN12" s="107"/>
      <c r="AO12" s="107"/>
      <c r="AP12" s="107"/>
      <c r="AQ12" s="107"/>
      <c r="AR12" s="107"/>
      <c r="AS12" s="107"/>
      <c r="AT12" s="107"/>
      <c r="AU12" s="107"/>
      <c r="AV12" s="107"/>
      <c r="AW12" s="107"/>
      <c r="AX12" s="107"/>
      <c r="AY12" s="108"/>
      <c r="AZ12" s="108"/>
      <c r="BA12" s="108"/>
      <c r="BB12" s="96"/>
      <c r="BC12" s="96"/>
    </row>
    <row r="13" spans="1:55" ht="12.95" customHeight="1" x14ac:dyDescent="0.3">
      <c r="A13" s="107"/>
      <c r="B13" s="108"/>
      <c r="C13" s="108"/>
      <c r="D13" s="108"/>
      <c r="E13" s="108"/>
      <c r="F13" s="108"/>
      <c r="G13" s="108"/>
      <c r="H13" s="108"/>
      <c r="I13" s="108"/>
      <c r="J13" s="108"/>
      <c r="K13" s="108"/>
      <c r="L13" s="108"/>
      <c r="M13" s="108"/>
      <c r="N13" s="108"/>
      <c r="O13" s="108"/>
      <c r="P13" s="108"/>
      <c r="Q13" s="108"/>
      <c r="R13" s="108"/>
      <c r="S13" s="108"/>
      <c r="T13" s="108"/>
      <c r="U13" s="108"/>
      <c r="V13" s="108"/>
      <c r="W13" s="108"/>
      <c r="X13" s="108"/>
      <c r="Y13" s="107"/>
      <c r="Z13" s="108"/>
      <c r="AA13" s="108"/>
      <c r="AB13" s="108"/>
      <c r="AC13" s="108"/>
      <c r="AD13" s="108"/>
      <c r="AE13" s="108"/>
      <c r="AF13" s="108"/>
      <c r="AG13" s="108"/>
      <c r="AH13" s="108"/>
      <c r="AI13" s="108"/>
      <c r="AJ13" s="108"/>
      <c r="AK13" s="108"/>
      <c r="AL13" s="108"/>
      <c r="AM13" s="108"/>
      <c r="AN13" s="108"/>
      <c r="AO13" s="108"/>
      <c r="AP13" s="108"/>
      <c r="AQ13" s="108"/>
      <c r="AR13" s="108"/>
      <c r="AS13" s="108"/>
      <c r="AT13" s="108"/>
      <c r="AU13" s="108"/>
      <c r="AV13" s="108"/>
      <c r="AW13" s="108"/>
      <c r="AX13" s="107"/>
      <c r="AY13" s="108"/>
      <c r="AZ13" s="108"/>
      <c r="BA13" s="108"/>
      <c r="BB13" s="96"/>
      <c r="BC13" s="96"/>
    </row>
    <row r="14" spans="1:55" ht="12.95" customHeight="1" x14ac:dyDescent="0.3">
      <c r="A14" s="107"/>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7"/>
      <c r="Z14" s="108"/>
      <c r="AA14" s="108"/>
      <c r="AB14" s="108"/>
      <c r="AC14" s="108"/>
      <c r="AD14" s="108"/>
      <c r="AE14" s="108"/>
      <c r="AF14" s="108"/>
      <c r="AG14" s="108"/>
      <c r="AH14" s="108"/>
      <c r="AI14" s="108"/>
      <c r="AJ14" s="108"/>
      <c r="AK14" s="108"/>
      <c r="AL14" s="108"/>
      <c r="AM14" s="108"/>
      <c r="AN14" s="108"/>
      <c r="AO14" s="108"/>
      <c r="AP14" s="108"/>
      <c r="AQ14" s="108"/>
      <c r="AR14" s="108"/>
      <c r="AS14" s="108"/>
      <c r="AT14" s="108"/>
      <c r="AU14" s="108"/>
      <c r="AV14" s="108"/>
      <c r="AW14" s="108"/>
      <c r="AX14" s="107"/>
      <c r="AY14" s="108"/>
      <c r="AZ14" s="108"/>
      <c r="BA14" s="108"/>
      <c r="BB14" s="96"/>
      <c r="BC14" s="96"/>
    </row>
    <row r="15" spans="1:55" ht="12.95" customHeight="1" x14ac:dyDescent="0.3">
      <c r="A15" s="107"/>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7"/>
      <c r="Z15" s="108"/>
      <c r="AA15" s="108"/>
      <c r="AB15" s="108"/>
      <c r="AC15" s="108"/>
      <c r="AD15" s="108"/>
      <c r="AE15" s="108"/>
      <c r="AF15" s="108"/>
      <c r="AG15" s="108"/>
      <c r="AH15" s="108"/>
      <c r="AI15" s="108"/>
      <c r="AJ15" s="108"/>
      <c r="AK15" s="108"/>
      <c r="AL15" s="108"/>
      <c r="AM15" s="108"/>
      <c r="AN15" s="108"/>
      <c r="AO15" s="108"/>
      <c r="AP15" s="108"/>
      <c r="AQ15" s="108"/>
      <c r="AR15" s="108"/>
      <c r="AS15" s="108"/>
      <c r="AT15" s="108"/>
      <c r="AU15" s="108"/>
      <c r="AV15" s="108"/>
      <c r="AW15" s="108"/>
      <c r="AX15" s="107"/>
      <c r="AY15" s="108"/>
      <c r="AZ15" s="108"/>
      <c r="BA15" s="108"/>
      <c r="BB15" s="96"/>
      <c r="BC15" s="96"/>
    </row>
    <row r="16" spans="1:55" ht="12.95" customHeight="1" x14ac:dyDescent="0.3">
      <c r="A16" s="107"/>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7"/>
      <c r="Z16" s="108"/>
      <c r="AA16" s="108"/>
      <c r="AB16" s="108"/>
      <c r="AC16" s="108"/>
      <c r="AD16" s="108"/>
      <c r="AE16" s="108"/>
      <c r="AF16" s="108"/>
      <c r="AG16" s="108"/>
      <c r="AH16" s="108"/>
      <c r="AI16" s="108"/>
      <c r="AJ16" s="108"/>
      <c r="AK16" s="108"/>
      <c r="AL16" s="108"/>
      <c r="AM16" s="108"/>
      <c r="AN16" s="108"/>
      <c r="AO16" s="108"/>
      <c r="AP16" s="108"/>
      <c r="AQ16" s="108"/>
      <c r="AR16" s="108"/>
      <c r="AS16" s="108"/>
      <c r="AT16" s="108"/>
      <c r="AU16" s="108"/>
      <c r="AV16" s="108"/>
      <c r="AW16" s="108"/>
      <c r="AX16" s="107"/>
      <c r="AY16" s="108"/>
      <c r="AZ16" s="108"/>
      <c r="BA16" s="108"/>
      <c r="BB16" s="96"/>
      <c r="BC16" s="96"/>
    </row>
    <row r="17" spans="1:59" ht="12.95" customHeight="1" x14ac:dyDescent="0.3">
      <c r="A17" s="107"/>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7"/>
      <c r="Z17" s="108"/>
      <c r="AA17" s="108"/>
      <c r="AB17" s="108"/>
      <c r="AC17" s="108"/>
      <c r="AD17" s="108"/>
      <c r="AE17" s="108"/>
      <c r="AF17" s="108"/>
      <c r="AG17" s="108"/>
      <c r="AH17" s="108"/>
      <c r="AI17" s="108"/>
      <c r="AJ17" s="108"/>
      <c r="AK17" s="108"/>
      <c r="AL17" s="108"/>
      <c r="AM17" s="108"/>
      <c r="AN17" s="108"/>
      <c r="AO17" s="108"/>
      <c r="AP17" s="108"/>
      <c r="AQ17" s="108"/>
      <c r="AR17" s="108"/>
      <c r="AS17" s="108"/>
      <c r="AT17" s="108"/>
      <c r="AU17" s="108"/>
      <c r="AV17" s="108"/>
      <c r="AW17" s="108"/>
      <c r="AX17" s="107"/>
      <c r="AY17" s="108"/>
      <c r="AZ17" s="108"/>
      <c r="BA17" s="108"/>
      <c r="BB17" s="96"/>
      <c r="BC17" s="96"/>
    </row>
    <row r="18" spans="1:59" ht="12.95" customHeight="1" x14ac:dyDescent="0.3">
      <c r="A18" s="107"/>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7"/>
      <c r="Z18" s="108"/>
      <c r="AA18" s="108"/>
      <c r="AB18" s="108"/>
      <c r="AC18" s="108"/>
      <c r="AD18" s="108"/>
      <c r="AE18" s="108"/>
      <c r="AF18" s="108"/>
      <c r="AG18" s="108"/>
      <c r="AH18" s="108"/>
      <c r="AI18" s="108"/>
      <c r="AJ18" s="108"/>
      <c r="AK18" s="108"/>
      <c r="AL18" s="108"/>
      <c r="AM18" s="108"/>
      <c r="AN18" s="108"/>
      <c r="AO18" s="108"/>
      <c r="AP18" s="108"/>
      <c r="AQ18" s="108"/>
      <c r="AR18" s="108"/>
      <c r="AS18" s="108"/>
      <c r="AT18" s="108"/>
      <c r="AU18" s="108"/>
      <c r="AV18" s="108"/>
      <c r="AW18" s="108"/>
      <c r="AX18" s="107"/>
      <c r="AY18" s="108"/>
      <c r="AZ18" s="108"/>
      <c r="BA18" s="108"/>
      <c r="BB18" s="96"/>
      <c r="BC18" s="96"/>
    </row>
    <row r="19" spans="1:59" ht="12.95" customHeight="1" x14ac:dyDescent="0.3">
      <c r="A19" s="107"/>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7"/>
      <c r="Z19" s="108"/>
      <c r="AA19" s="108"/>
      <c r="AB19" s="108"/>
      <c r="AC19" s="108"/>
      <c r="AD19" s="108"/>
      <c r="AE19" s="108"/>
      <c r="AF19" s="108"/>
      <c r="AG19" s="108"/>
      <c r="AH19" s="108"/>
      <c r="AI19" s="108"/>
      <c r="AJ19" s="108"/>
      <c r="AK19" s="108"/>
      <c r="AL19" s="108"/>
      <c r="AM19" s="108"/>
      <c r="AN19" s="108"/>
      <c r="AO19" s="108"/>
      <c r="AP19" s="108"/>
      <c r="AQ19" s="108"/>
      <c r="AR19" s="108"/>
      <c r="AS19" s="108"/>
      <c r="AT19" s="108"/>
      <c r="AU19" s="108"/>
      <c r="AV19" s="108"/>
      <c r="AW19" s="108"/>
      <c r="AX19" s="107"/>
      <c r="AY19" s="108"/>
      <c r="AZ19" s="108"/>
      <c r="BA19" s="108"/>
      <c r="BB19" s="96"/>
      <c r="BC19" s="96"/>
    </row>
    <row r="20" spans="1:59" ht="12.95" customHeight="1" x14ac:dyDescent="0.3">
      <c r="A20" s="107"/>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7"/>
      <c r="Z20" s="108"/>
      <c r="AA20" s="108"/>
      <c r="AB20" s="108"/>
      <c r="AC20" s="108"/>
      <c r="AD20" s="108"/>
      <c r="AE20" s="108"/>
      <c r="AF20" s="108"/>
      <c r="AG20" s="108"/>
      <c r="AH20" s="108"/>
      <c r="AI20" s="108"/>
      <c r="AJ20" s="108"/>
      <c r="AK20" s="108"/>
      <c r="AL20" s="108"/>
      <c r="AM20" s="108"/>
      <c r="AN20" s="108"/>
      <c r="AO20" s="108"/>
      <c r="AP20" s="108"/>
      <c r="AQ20" s="108"/>
      <c r="AR20" s="108"/>
      <c r="AS20" s="108"/>
      <c r="AT20" s="108"/>
      <c r="AU20" s="108"/>
      <c r="AV20" s="108"/>
      <c r="AW20" s="108"/>
      <c r="AX20" s="107"/>
      <c r="AY20" s="108"/>
      <c r="AZ20" s="108"/>
      <c r="BA20" s="108"/>
      <c r="BB20" s="96"/>
      <c r="BC20" s="96"/>
    </row>
    <row r="21" spans="1:59" ht="12.95" customHeight="1" x14ac:dyDescent="0.3">
      <c r="A21" s="107"/>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7"/>
      <c r="Z21" s="108"/>
      <c r="AA21" s="108"/>
      <c r="AB21" s="108"/>
      <c r="AC21" s="108"/>
      <c r="AD21" s="108"/>
      <c r="AE21" s="108"/>
      <c r="AF21" s="108"/>
      <c r="AG21" s="108"/>
      <c r="AH21" s="108"/>
      <c r="AI21" s="108"/>
      <c r="AJ21" s="108"/>
      <c r="AK21" s="108"/>
      <c r="AL21" s="108"/>
      <c r="AM21" s="108"/>
      <c r="AN21" s="108"/>
      <c r="AO21" s="108"/>
      <c r="AP21" s="108"/>
      <c r="AQ21" s="108"/>
      <c r="AR21" s="108"/>
      <c r="AS21" s="108"/>
      <c r="AT21" s="108"/>
      <c r="AU21" s="108"/>
      <c r="AV21" s="108"/>
      <c r="AW21" s="108"/>
      <c r="AX21" s="107"/>
      <c r="AY21" s="108"/>
      <c r="AZ21" s="108"/>
      <c r="BA21" s="108"/>
      <c r="BB21" s="96"/>
      <c r="BC21" s="96"/>
    </row>
    <row r="22" spans="1:59" ht="12.95" customHeight="1" x14ac:dyDescent="0.3">
      <c r="A22" s="107"/>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7"/>
      <c r="Z22" s="108"/>
      <c r="AA22" s="108"/>
      <c r="AB22" s="108"/>
      <c r="AC22" s="108"/>
      <c r="AD22" s="108"/>
      <c r="AE22" s="108"/>
      <c r="AF22" s="108"/>
      <c r="AG22" s="108"/>
      <c r="AH22" s="108"/>
      <c r="AI22" s="108"/>
      <c r="AJ22" s="108"/>
      <c r="AK22" s="108"/>
      <c r="AL22" s="108"/>
      <c r="AM22" s="108"/>
      <c r="AN22" s="108"/>
      <c r="AO22" s="108"/>
      <c r="AP22" s="108"/>
      <c r="AQ22" s="108"/>
      <c r="AR22" s="108"/>
      <c r="AS22" s="108"/>
      <c r="AT22" s="108"/>
      <c r="AU22" s="108"/>
      <c r="AV22" s="108"/>
      <c r="AW22" s="108"/>
      <c r="AX22" s="107"/>
      <c r="AY22" s="108"/>
      <c r="AZ22" s="108"/>
      <c r="BA22" s="108"/>
      <c r="BB22" s="96"/>
      <c r="BC22" s="96"/>
    </row>
    <row r="23" spans="1:59" ht="12.95" customHeight="1" x14ac:dyDescent="0.3">
      <c r="A23" s="107"/>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7"/>
      <c r="Z23" s="108"/>
      <c r="AA23" s="108"/>
      <c r="AB23" s="108"/>
      <c r="AC23" s="108"/>
      <c r="AD23" s="108"/>
      <c r="AE23" s="108"/>
      <c r="AF23" s="108"/>
      <c r="AG23" s="108"/>
      <c r="AH23" s="108"/>
      <c r="AI23" s="108"/>
      <c r="AJ23" s="108"/>
      <c r="AK23" s="108"/>
      <c r="AL23" s="108"/>
      <c r="AM23" s="108"/>
      <c r="AN23" s="108"/>
      <c r="AO23" s="108"/>
      <c r="AP23" s="108"/>
      <c r="AQ23" s="108"/>
      <c r="AR23" s="108"/>
      <c r="AS23" s="108"/>
      <c r="AT23" s="108"/>
      <c r="AU23" s="108"/>
      <c r="AV23" s="108"/>
      <c r="AW23" s="108"/>
      <c r="AX23" s="107"/>
      <c r="AY23" s="108"/>
      <c r="AZ23" s="108"/>
      <c r="BA23" s="108"/>
      <c r="BB23" s="96"/>
      <c r="BC23" s="96"/>
    </row>
    <row r="24" spans="1:59" ht="12.95" customHeight="1" x14ac:dyDescent="0.3">
      <c r="A24" s="107"/>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7"/>
      <c r="Z24" s="108"/>
      <c r="AA24" s="108"/>
      <c r="AB24" s="108"/>
      <c r="AC24" s="108"/>
      <c r="AD24" s="108"/>
      <c r="AE24" s="108"/>
      <c r="AF24" s="108"/>
      <c r="AG24" s="108"/>
      <c r="AH24" s="108"/>
      <c r="AI24" s="108"/>
      <c r="AJ24" s="108"/>
      <c r="AK24" s="108"/>
      <c r="AL24" s="108"/>
      <c r="AM24" s="108"/>
      <c r="AN24" s="108"/>
      <c r="AO24" s="108"/>
      <c r="AP24" s="108"/>
      <c r="AQ24" s="108"/>
      <c r="AR24" s="108"/>
      <c r="AS24" s="108"/>
      <c r="AT24" s="108"/>
      <c r="AU24" s="108"/>
      <c r="AV24" s="108"/>
      <c r="AW24" s="108"/>
      <c r="AX24" s="107"/>
      <c r="AY24" s="108"/>
      <c r="AZ24" s="108"/>
      <c r="BA24" s="108"/>
      <c r="BB24" s="96"/>
      <c r="BC24" s="96"/>
    </row>
    <row r="25" spans="1:59" ht="10.35" customHeight="1" x14ac:dyDescent="0.3">
      <c r="A25" s="107"/>
      <c r="B25" s="107"/>
      <c r="C25" s="107"/>
      <c r="D25" s="107"/>
      <c r="E25" s="107"/>
      <c r="F25" s="107"/>
      <c r="G25" s="107"/>
      <c r="H25" s="107"/>
      <c r="I25" s="107"/>
      <c r="J25" s="107"/>
      <c r="K25" s="107"/>
      <c r="L25" s="107"/>
      <c r="M25" s="107"/>
      <c r="N25" s="107"/>
      <c r="O25" s="107"/>
      <c r="P25" s="107"/>
      <c r="Q25" s="107"/>
      <c r="R25" s="107"/>
      <c r="S25" s="107"/>
      <c r="T25" s="107"/>
      <c r="U25" s="107"/>
      <c r="V25" s="107"/>
      <c r="W25" s="107"/>
      <c r="X25" s="107"/>
      <c r="Y25" s="107"/>
      <c r="Z25" s="108"/>
      <c r="AA25" s="108"/>
      <c r="AB25" s="108"/>
      <c r="AC25" s="108"/>
      <c r="AD25" s="108"/>
      <c r="AE25" s="108"/>
      <c r="AF25" s="108"/>
      <c r="AG25" s="108"/>
      <c r="AH25" s="108"/>
      <c r="AI25" s="108"/>
      <c r="AJ25" s="108"/>
      <c r="AK25" s="108"/>
      <c r="AL25" s="108"/>
      <c r="AM25" s="108"/>
      <c r="AN25" s="108"/>
      <c r="AO25" s="108"/>
      <c r="AP25" s="108"/>
      <c r="AQ25" s="108"/>
      <c r="AR25" s="108"/>
      <c r="AS25" s="108"/>
      <c r="AT25" s="108"/>
      <c r="AU25" s="108"/>
      <c r="AV25" s="108"/>
      <c r="AW25" s="108"/>
      <c r="AX25" s="107"/>
      <c r="AY25" s="108"/>
      <c r="AZ25" s="108"/>
      <c r="BA25" s="108"/>
      <c r="BB25" s="96"/>
      <c r="BC25" s="96"/>
    </row>
    <row r="26" spans="1:59" ht="10.35" customHeight="1" x14ac:dyDescent="0.3">
      <c r="A26" s="107"/>
      <c r="B26" s="107"/>
      <c r="C26" s="107"/>
      <c r="D26" s="107"/>
      <c r="E26" s="107"/>
      <c r="F26" s="107"/>
      <c r="G26" s="107"/>
      <c r="H26" s="107"/>
      <c r="I26" s="107"/>
      <c r="J26" s="107"/>
      <c r="K26" s="107"/>
      <c r="L26" s="107"/>
      <c r="M26" s="107"/>
      <c r="N26" s="107"/>
      <c r="O26" s="107"/>
      <c r="P26" s="107"/>
      <c r="Q26" s="107"/>
      <c r="R26" s="107"/>
      <c r="S26" s="107"/>
      <c r="T26" s="107"/>
      <c r="U26" s="107"/>
      <c r="V26" s="107"/>
      <c r="W26" s="107"/>
      <c r="X26" s="107"/>
      <c r="Y26" s="107"/>
      <c r="Z26" s="108"/>
      <c r="AA26" s="108"/>
      <c r="AB26" s="108"/>
      <c r="AC26" s="108"/>
      <c r="AD26" s="108"/>
      <c r="AE26" s="108"/>
      <c r="AF26" s="108"/>
      <c r="AG26" s="108"/>
      <c r="AH26" s="108"/>
      <c r="AI26" s="108"/>
      <c r="AJ26" s="108"/>
      <c r="AK26" s="108"/>
      <c r="AL26" s="108"/>
      <c r="AM26" s="108"/>
      <c r="AN26" s="108"/>
      <c r="AO26" s="108"/>
      <c r="AP26" s="108"/>
      <c r="AQ26" s="108"/>
      <c r="AR26" s="108"/>
      <c r="AS26" s="108"/>
      <c r="AT26" s="108"/>
      <c r="AU26" s="108"/>
      <c r="AV26" s="108"/>
      <c r="AW26" s="108"/>
      <c r="AX26" s="107"/>
      <c r="AY26" s="108"/>
      <c r="AZ26" s="108"/>
      <c r="BA26" s="108"/>
      <c r="BB26" s="96"/>
      <c r="BC26" s="96"/>
    </row>
    <row r="27" spans="1:59" ht="10.35" customHeight="1" x14ac:dyDescent="0.3">
      <c r="A27" s="107"/>
      <c r="B27" s="107"/>
      <c r="C27" s="107"/>
      <c r="D27" s="107"/>
      <c r="E27" s="107"/>
      <c r="F27" s="107"/>
      <c r="G27" s="107"/>
      <c r="H27" s="107"/>
      <c r="I27" s="107"/>
      <c r="J27" s="107"/>
      <c r="K27" s="107"/>
      <c r="L27" s="107"/>
      <c r="M27" s="107"/>
      <c r="N27" s="107"/>
      <c r="O27" s="107"/>
      <c r="P27" s="107"/>
      <c r="Q27" s="107"/>
      <c r="R27" s="107"/>
      <c r="S27" s="107"/>
      <c r="T27" s="107"/>
      <c r="U27" s="107"/>
      <c r="V27" s="107"/>
      <c r="W27" s="107"/>
      <c r="X27" s="107"/>
      <c r="Y27" s="107"/>
      <c r="Z27" s="108"/>
      <c r="AA27" s="108"/>
      <c r="AB27" s="108"/>
      <c r="AC27" s="108"/>
      <c r="AD27" s="108"/>
      <c r="AE27" s="108"/>
      <c r="AF27" s="108"/>
      <c r="AG27" s="108"/>
      <c r="AH27" s="108"/>
      <c r="AI27" s="108"/>
      <c r="AJ27" s="108"/>
      <c r="AK27" s="108"/>
      <c r="AL27" s="108"/>
      <c r="AM27" s="108"/>
      <c r="AN27" s="108"/>
      <c r="AO27" s="108"/>
      <c r="AP27" s="108"/>
      <c r="AQ27" s="108"/>
      <c r="AR27" s="108"/>
      <c r="AS27" s="108"/>
      <c r="AT27" s="108"/>
      <c r="AU27" s="108"/>
      <c r="AV27" s="108"/>
      <c r="AW27" s="108"/>
      <c r="AX27" s="107"/>
      <c r="AY27" s="108"/>
      <c r="AZ27" s="108"/>
      <c r="BA27" s="108"/>
      <c r="BB27" s="96"/>
      <c r="BC27" s="96"/>
    </row>
    <row r="28" spans="1:59" ht="10.35" customHeight="1" x14ac:dyDescent="0.3">
      <c r="A28" s="107"/>
      <c r="B28" s="107"/>
      <c r="C28" s="107"/>
      <c r="D28" s="107"/>
      <c r="E28" s="107"/>
      <c r="F28" s="107"/>
      <c r="G28" s="107"/>
      <c r="H28" s="107"/>
      <c r="I28" s="107"/>
      <c r="J28" s="107"/>
      <c r="K28" s="107"/>
      <c r="L28" s="107"/>
      <c r="M28" s="107"/>
      <c r="N28" s="107"/>
      <c r="O28" s="107"/>
      <c r="P28" s="107"/>
      <c r="Q28" s="107"/>
      <c r="R28" s="107"/>
      <c r="S28" s="107"/>
      <c r="T28" s="107"/>
      <c r="U28" s="107"/>
      <c r="V28" s="107"/>
      <c r="W28" s="107"/>
      <c r="X28" s="107"/>
      <c r="Y28" s="107"/>
      <c r="Z28" s="108"/>
      <c r="AA28" s="108"/>
      <c r="AB28" s="108"/>
      <c r="AC28" s="108"/>
      <c r="AD28" s="108"/>
      <c r="AE28" s="108"/>
      <c r="AF28" s="108"/>
      <c r="AG28" s="108"/>
      <c r="AH28" s="108"/>
      <c r="AI28" s="108"/>
      <c r="AJ28" s="108"/>
      <c r="AK28" s="108"/>
      <c r="AL28" s="108"/>
      <c r="AM28" s="108"/>
      <c r="AN28" s="108"/>
      <c r="AO28" s="108"/>
      <c r="AP28" s="108"/>
      <c r="AQ28" s="108"/>
      <c r="AR28" s="108"/>
      <c r="AS28" s="108"/>
      <c r="AT28" s="108"/>
      <c r="AU28" s="108"/>
      <c r="AV28" s="108"/>
      <c r="AW28" s="108"/>
      <c r="AX28" s="108"/>
      <c r="AY28" s="108"/>
      <c r="AZ28" s="108"/>
      <c r="BA28" s="108"/>
      <c r="BB28" s="96"/>
      <c r="BC28" s="96"/>
    </row>
    <row r="29" spans="1:59" ht="12.95" customHeight="1" x14ac:dyDescent="0.3">
      <c r="A29" s="107"/>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7"/>
      <c r="Z29" s="108"/>
      <c r="AA29" s="108"/>
      <c r="AB29" s="108"/>
      <c r="AC29" s="108"/>
      <c r="AD29" s="108"/>
      <c r="AE29" s="108"/>
      <c r="AF29" s="108"/>
      <c r="AG29" s="108"/>
      <c r="AH29" s="108"/>
      <c r="AI29" s="108"/>
      <c r="AJ29" s="108"/>
      <c r="AK29" s="108"/>
      <c r="AL29" s="108"/>
      <c r="AM29" s="108"/>
      <c r="AN29" s="108"/>
      <c r="AO29" s="108"/>
      <c r="AP29" s="108"/>
      <c r="AQ29" s="108"/>
      <c r="AR29" s="108"/>
      <c r="AS29" s="108"/>
      <c r="AT29" s="108"/>
      <c r="AU29" s="108"/>
      <c r="AV29" s="108"/>
      <c r="AW29" s="108"/>
      <c r="AX29" s="110"/>
      <c r="AY29" s="110"/>
      <c r="AZ29" s="110"/>
      <c r="BA29" s="110"/>
      <c r="BB29" s="101"/>
      <c r="BC29" s="101"/>
      <c r="BD29" s="99"/>
      <c r="BE29" s="99"/>
      <c r="BF29" s="99"/>
      <c r="BG29" s="99"/>
    </row>
    <row r="30" spans="1:59" ht="12.95" customHeight="1" x14ac:dyDescent="0.3">
      <c r="A30" s="107"/>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c r="AA30" s="108"/>
      <c r="AB30" s="108"/>
      <c r="AC30" s="108"/>
      <c r="AD30" s="108"/>
      <c r="AE30" s="108"/>
      <c r="AF30" s="108"/>
      <c r="AG30" s="108"/>
      <c r="AH30" s="108"/>
      <c r="AI30" s="108"/>
      <c r="AJ30" s="108"/>
      <c r="AK30" s="108"/>
      <c r="AL30" s="108"/>
      <c r="AM30" s="108"/>
      <c r="AN30" s="108"/>
      <c r="AO30" s="108"/>
      <c r="AP30" s="108"/>
      <c r="AQ30" s="108"/>
      <c r="AR30" s="108"/>
      <c r="AS30" s="108"/>
      <c r="AT30" s="108"/>
      <c r="AU30" s="108"/>
      <c r="AV30" s="108"/>
      <c r="AW30" s="108"/>
      <c r="AX30" s="108"/>
      <c r="AY30" s="108"/>
      <c r="AZ30" s="108"/>
      <c r="BA30" s="108"/>
      <c r="BB30" s="96"/>
      <c r="BC30" s="96"/>
    </row>
    <row r="31" spans="1:59" ht="12.95" customHeight="1" x14ac:dyDescent="0.3">
      <c r="A31" s="107"/>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c r="AA31" s="108"/>
      <c r="AB31" s="108"/>
      <c r="AC31" s="108"/>
      <c r="AD31" s="108"/>
      <c r="AE31" s="108"/>
      <c r="AF31" s="108"/>
      <c r="AG31" s="108"/>
      <c r="AH31" s="108"/>
      <c r="AI31" s="108"/>
      <c r="AJ31" s="108"/>
      <c r="AK31" s="108"/>
      <c r="AL31" s="108"/>
      <c r="AM31" s="108"/>
      <c r="AN31" s="108"/>
      <c r="AO31" s="108"/>
      <c r="AP31" s="108"/>
      <c r="AQ31" s="108"/>
      <c r="AR31" s="108"/>
      <c r="AS31" s="108"/>
      <c r="AT31" s="108"/>
      <c r="AU31" s="108"/>
      <c r="AV31" s="108"/>
      <c r="AW31" s="108"/>
      <c r="AX31" s="108"/>
      <c r="AY31" s="108"/>
      <c r="AZ31" s="108"/>
      <c r="BA31" s="108"/>
      <c r="BB31" s="102"/>
      <c r="BC31" s="102"/>
      <c r="BD31" s="97"/>
      <c r="BE31" s="97"/>
      <c r="BF31" s="97"/>
      <c r="BG31" s="97"/>
    </row>
    <row r="32" spans="1:59" ht="18.95" customHeight="1" x14ac:dyDescent="0.3">
      <c r="A32" s="107"/>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c r="AA32" s="108"/>
      <c r="AB32" s="108"/>
      <c r="AC32" s="108"/>
      <c r="AD32" s="108"/>
      <c r="AE32" s="108"/>
      <c r="AF32" s="108"/>
      <c r="AG32" s="108"/>
      <c r="AH32" s="108"/>
      <c r="AI32" s="108"/>
      <c r="AJ32" s="108"/>
      <c r="AK32" s="108"/>
      <c r="AL32" s="108"/>
      <c r="AM32" s="108"/>
      <c r="AN32" s="108"/>
      <c r="AO32" s="108"/>
      <c r="AP32" s="108"/>
      <c r="AQ32" s="108"/>
      <c r="AR32" s="108"/>
      <c r="AS32" s="108"/>
      <c r="AT32" s="108"/>
      <c r="AU32" s="108"/>
      <c r="AV32" s="108"/>
      <c r="AW32" s="108"/>
      <c r="AX32" s="108"/>
      <c r="AY32" s="108"/>
      <c r="AZ32" s="108"/>
      <c r="BA32" s="108"/>
      <c r="BB32" s="96"/>
      <c r="BC32" s="96"/>
    </row>
    <row r="33" spans="1:59" ht="13.9" customHeight="1" x14ac:dyDescent="0.3">
      <c r="A33" s="107"/>
      <c r="B33" s="108"/>
      <c r="C33" s="199" t="s">
        <v>437</v>
      </c>
      <c r="D33" s="200"/>
      <c r="E33" s="200"/>
      <c r="F33" s="200"/>
      <c r="G33" s="200"/>
      <c r="H33" s="200"/>
      <c r="I33" s="200"/>
      <c r="J33" s="200"/>
      <c r="K33" s="200"/>
      <c r="L33" s="200"/>
      <c r="M33" s="200"/>
      <c r="N33" s="200"/>
      <c r="O33" s="200"/>
      <c r="P33" s="200"/>
      <c r="Q33" s="200"/>
      <c r="R33" s="200"/>
      <c r="S33" s="200"/>
      <c r="T33" s="200"/>
      <c r="U33" s="200"/>
      <c r="V33" s="200"/>
      <c r="W33" s="200"/>
      <c r="X33" s="200"/>
      <c r="Y33" s="200"/>
      <c r="Z33" s="200"/>
      <c r="AA33" s="200"/>
      <c r="AB33" s="200"/>
      <c r="AC33" s="201"/>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105"/>
      <c r="BC33" s="102"/>
      <c r="BD33" s="97"/>
      <c r="BE33" s="97"/>
      <c r="BF33" s="97"/>
      <c r="BG33" s="97"/>
    </row>
    <row r="34" spans="1:59" ht="13.9" customHeight="1" x14ac:dyDescent="0.3">
      <c r="A34" s="107"/>
      <c r="B34" s="108"/>
      <c r="C34" s="202"/>
      <c r="D34" s="196"/>
      <c r="E34" s="196"/>
      <c r="F34" s="196"/>
      <c r="G34" s="196"/>
      <c r="H34" s="196"/>
      <c r="I34" s="196"/>
      <c r="J34" s="196"/>
      <c r="K34" s="196"/>
      <c r="L34" s="196"/>
      <c r="M34" s="196"/>
      <c r="N34" s="196"/>
      <c r="O34" s="196"/>
      <c r="P34" s="196"/>
      <c r="Q34" s="196"/>
      <c r="R34" s="196"/>
      <c r="S34" s="196"/>
      <c r="T34" s="196"/>
      <c r="U34" s="196"/>
      <c r="V34" s="196"/>
      <c r="W34" s="196"/>
      <c r="X34" s="196"/>
      <c r="Y34" s="196"/>
      <c r="Z34" s="196"/>
      <c r="AA34" s="196"/>
      <c r="AB34" s="196"/>
      <c r="AC34" s="203"/>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104"/>
      <c r="BC34" s="96"/>
    </row>
    <row r="35" spans="1:59" ht="13.9" customHeight="1" x14ac:dyDescent="0.3">
      <c r="A35" s="107"/>
      <c r="B35" s="108"/>
      <c r="C35" s="204" t="s">
        <v>438</v>
      </c>
      <c r="D35" s="198"/>
      <c r="E35" s="198"/>
      <c r="F35" s="198"/>
      <c r="G35" s="198"/>
      <c r="H35" s="198"/>
      <c r="I35" s="198"/>
      <c r="J35" s="198"/>
      <c r="K35" s="198"/>
      <c r="L35" s="198" t="s">
        <v>406</v>
      </c>
      <c r="M35" s="198"/>
      <c r="N35" s="198"/>
      <c r="O35" s="198"/>
      <c r="P35" s="198"/>
      <c r="Q35" s="198"/>
      <c r="R35" s="198"/>
      <c r="S35" s="198"/>
      <c r="T35" s="198"/>
      <c r="U35" s="198" t="s">
        <v>439</v>
      </c>
      <c r="V35" s="198"/>
      <c r="W35" s="198"/>
      <c r="X35" s="198"/>
      <c r="Y35" s="198"/>
      <c r="Z35" s="198"/>
      <c r="AA35" s="198"/>
      <c r="AB35" s="198"/>
      <c r="AC35" s="205"/>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105"/>
      <c r="BC35" s="102"/>
      <c r="BD35" s="97"/>
      <c r="BE35" s="97"/>
      <c r="BF35" s="97"/>
      <c r="BG35" s="97"/>
    </row>
    <row r="36" spans="1:59" ht="13.9" customHeight="1" x14ac:dyDescent="0.3">
      <c r="A36" s="107"/>
      <c r="B36" s="108"/>
      <c r="C36" s="204"/>
      <c r="D36" s="198"/>
      <c r="E36" s="198"/>
      <c r="F36" s="198"/>
      <c r="G36" s="198"/>
      <c r="H36" s="198"/>
      <c r="I36" s="198"/>
      <c r="J36" s="198"/>
      <c r="K36" s="198"/>
      <c r="L36" s="198"/>
      <c r="M36" s="198"/>
      <c r="N36" s="198"/>
      <c r="O36" s="198"/>
      <c r="P36" s="198"/>
      <c r="Q36" s="198"/>
      <c r="R36" s="198"/>
      <c r="S36" s="198"/>
      <c r="T36" s="198"/>
      <c r="U36" s="198"/>
      <c r="V36" s="198"/>
      <c r="W36" s="198"/>
      <c r="X36" s="198"/>
      <c r="Y36" s="198"/>
      <c r="Z36" s="198"/>
      <c r="AA36" s="198"/>
      <c r="AB36" s="198"/>
      <c r="AC36" s="205"/>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104"/>
      <c r="BC36" s="96"/>
    </row>
    <row r="37" spans="1:59" ht="13.9" customHeight="1" x14ac:dyDescent="0.3">
      <c r="A37" s="107"/>
      <c r="B37" s="108"/>
      <c r="C37" s="211" t="s">
        <v>440</v>
      </c>
      <c r="D37" s="212"/>
      <c r="E37" s="212"/>
      <c r="F37" s="212"/>
      <c r="G37" s="212"/>
      <c r="H37" s="212"/>
      <c r="I37" s="212"/>
      <c r="J37" s="212"/>
      <c r="K37" s="213"/>
      <c r="L37" s="214" t="str">
        <f>"Scope 1 = "&amp;TEXT($M$85,"0.0%")&amp;" of total"</f>
        <v>Scope 1 = 67.5% of total</v>
      </c>
      <c r="M37" s="214"/>
      <c r="N37" s="214"/>
      <c r="O37" s="214"/>
      <c r="P37" s="214"/>
      <c r="Q37" s="214"/>
      <c r="R37" s="214"/>
      <c r="S37" s="214"/>
      <c r="T37" s="215"/>
      <c r="U37" s="216" t="str">
        <f>IF($M$85&gt;=0.5,"Direct emissions dominate","Purchased electricity dominates")</f>
        <v>Direct emissions dominate</v>
      </c>
      <c r="V37" s="216"/>
      <c r="W37" s="216"/>
      <c r="X37" s="216"/>
      <c r="Y37" s="216"/>
      <c r="Z37" s="216"/>
      <c r="AA37" s="216"/>
      <c r="AB37" s="216"/>
      <c r="AC37" s="217"/>
      <c r="AD37" s="96"/>
      <c r="AE37" s="96"/>
      <c r="AF37" s="96"/>
      <c r="AG37" s="96"/>
      <c r="AH37" s="96"/>
      <c r="AI37" s="96"/>
      <c r="AJ37" s="96"/>
      <c r="AK37" s="96"/>
      <c r="AL37" s="96"/>
      <c r="AM37" s="96"/>
      <c r="AN37" s="96"/>
      <c r="AO37" s="96"/>
      <c r="AP37" s="96"/>
      <c r="AQ37" s="96"/>
      <c r="AR37" s="96"/>
      <c r="AS37" s="96"/>
      <c r="AT37" s="96"/>
      <c r="AU37" s="96"/>
      <c r="AV37" s="96"/>
      <c r="AW37" s="96"/>
      <c r="AX37" s="96"/>
      <c r="AY37" s="96"/>
      <c r="AZ37" s="96"/>
      <c r="BA37" s="96"/>
      <c r="BB37" s="105"/>
      <c r="BC37" s="102"/>
      <c r="BD37" s="97"/>
      <c r="BE37" s="97"/>
      <c r="BF37" s="97"/>
      <c r="BG37" s="97"/>
    </row>
    <row r="38" spans="1:59" ht="13.9" customHeight="1" x14ac:dyDescent="0.3">
      <c r="A38" s="107"/>
      <c r="B38" s="108"/>
      <c r="C38" s="211"/>
      <c r="D38" s="212"/>
      <c r="E38" s="212"/>
      <c r="F38" s="212"/>
      <c r="G38" s="212"/>
      <c r="H38" s="212"/>
      <c r="I38" s="212"/>
      <c r="J38" s="212"/>
      <c r="K38" s="213"/>
      <c r="L38" s="214"/>
      <c r="M38" s="214"/>
      <c r="N38" s="214"/>
      <c r="O38" s="214"/>
      <c r="P38" s="214"/>
      <c r="Q38" s="214"/>
      <c r="R38" s="214"/>
      <c r="S38" s="214"/>
      <c r="T38" s="215"/>
      <c r="U38" s="216"/>
      <c r="V38" s="216"/>
      <c r="W38" s="216"/>
      <c r="X38" s="216"/>
      <c r="Y38" s="216"/>
      <c r="Z38" s="216"/>
      <c r="AA38" s="216"/>
      <c r="AB38" s="216"/>
      <c r="AC38" s="217"/>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104"/>
      <c r="BC38" s="96"/>
    </row>
    <row r="39" spans="1:59" ht="13.9" customHeight="1" x14ac:dyDescent="0.3">
      <c r="A39" s="107"/>
      <c r="B39" s="108"/>
      <c r="C39" s="211"/>
      <c r="D39" s="212"/>
      <c r="E39" s="212"/>
      <c r="F39" s="212"/>
      <c r="G39" s="212"/>
      <c r="H39" s="212"/>
      <c r="I39" s="212"/>
      <c r="J39" s="212"/>
      <c r="K39" s="213"/>
      <c r="L39" s="214"/>
      <c r="M39" s="214"/>
      <c r="N39" s="214"/>
      <c r="O39" s="214"/>
      <c r="P39" s="214"/>
      <c r="Q39" s="214"/>
      <c r="R39" s="214"/>
      <c r="S39" s="214"/>
      <c r="T39" s="215"/>
      <c r="U39" s="216"/>
      <c r="V39" s="216"/>
      <c r="W39" s="216"/>
      <c r="X39" s="216"/>
      <c r="Y39" s="216"/>
      <c r="Z39" s="216"/>
      <c r="AA39" s="216"/>
      <c r="AB39" s="216"/>
      <c r="AC39" s="217"/>
      <c r="AD39" s="96"/>
      <c r="AE39" s="96"/>
      <c r="AF39" s="96"/>
      <c r="AG39" s="96"/>
      <c r="AH39" s="96"/>
      <c r="AI39" s="96"/>
      <c r="AJ39" s="96"/>
      <c r="AK39" s="96"/>
      <c r="AL39" s="96"/>
      <c r="AM39" s="96"/>
      <c r="AN39" s="96"/>
      <c r="AO39" s="96"/>
      <c r="AP39" s="96"/>
      <c r="AQ39" s="96"/>
      <c r="AR39" s="96"/>
      <c r="AS39" s="96"/>
      <c r="AT39" s="96"/>
      <c r="AU39" s="96"/>
      <c r="AV39" s="96"/>
      <c r="AW39" s="96"/>
      <c r="AX39" s="96"/>
      <c r="AY39" s="96"/>
      <c r="AZ39" s="96"/>
      <c r="BA39" s="96"/>
      <c r="BB39" s="106"/>
      <c r="BC39" s="100"/>
      <c r="BD39" s="98"/>
      <c r="BE39" s="98"/>
      <c r="BF39" s="98"/>
      <c r="BG39" s="98"/>
    </row>
    <row r="40" spans="1:59" ht="13.9" customHeight="1" x14ac:dyDescent="0.3">
      <c r="A40" s="107"/>
      <c r="B40" s="108"/>
      <c r="C40" s="218" t="s">
        <v>441</v>
      </c>
      <c r="D40" s="219"/>
      <c r="E40" s="219"/>
      <c r="F40" s="219"/>
      <c r="G40" s="219"/>
      <c r="H40" s="219"/>
      <c r="I40" s="219"/>
      <c r="J40" s="219"/>
      <c r="K40" s="220"/>
      <c r="L40" s="221" t="str">
        <f>$M$87&amp;" = "&amp;TEXT(IFERROR($M$88/$M$84,0),"0%")&amp;" of total"</f>
        <v>Calgary Office = 55% of total</v>
      </c>
      <c r="M40" s="221"/>
      <c r="N40" s="221"/>
      <c r="O40" s="221"/>
      <c r="P40" s="221"/>
      <c r="Q40" s="221"/>
      <c r="R40" s="221"/>
      <c r="S40" s="221"/>
      <c r="T40" s="222"/>
      <c r="U40" s="223" t="s">
        <v>442</v>
      </c>
      <c r="V40" s="223"/>
      <c r="W40" s="223"/>
      <c r="X40" s="223"/>
      <c r="Y40" s="223"/>
      <c r="Z40" s="223"/>
      <c r="AA40" s="223"/>
      <c r="AB40" s="223"/>
      <c r="AC40" s="224"/>
      <c r="AD40" s="96"/>
      <c r="AE40" s="96"/>
      <c r="AF40" s="96"/>
      <c r="AG40" s="96"/>
      <c r="AH40" s="96"/>
      <c r="AI40" s="96"/>
      <c r="AJ40" s="96"/>
      <c r="AK40" s="96"/>
      <c r="AL40" s="96"/>
      <c r="AM40" s="96"/>
      <c r="AN40" s="96"/>
      <c r="AO40" s="96"/>
      <c r="AP40" s="96"/>
      <c r="AQ40" s="96"/>
      <c r="AR40" s="96"/>
      <c r="AS40" s="96"/>
      <c r="AT40" s="96"/>
      <c r="AU40" s="96"/>
      <c r="AV40" s="96"/>
      <c r="AW40" s="96"/>
      <c r="AX40" s="96"/>
      <c r="AY40" s="96"/>
      <c r="AZ40" s="96"/>
      <c r="BA40" s="96"/>
      <c r="BB40" s="104"/>
      <c r="BC40" s="96"/>
    </row>
    <row r="41" spans="1:59" ht="13.9" customHeight="1" x14ac:dyDescent="0.3">
      <c r="A41" s="107"/>
      <c r="B41" s="108"/>
      <c r="C41" s="211"/>
      <c r="D41" s="212"/>
      <c r="E41" s="212"/>
      <c r="F41" s="212"/>
      <c r="G41" s="212"/>
      <c r="H41" s="212"/>
      <c r="I41" s="212"/>
      <c r="J41" s="212"/>
      <c r="K41" s="213"/>
      <c r="L41" s="214"/>
      <c r="M41" s="214"/>
      <c r="N41" s="214"/>
      <c r="O41" s="214"/>
      <c r="P41" s="214"/>
      <c r="Q41" s="214"/>
      <c r="R41" s="214"/>
      <c r="S41" s="214"/>
      <c r="T41" s="215"/>
      <c r="U41" s="216"/>
      <c r="V41" s="216"/>
      <c r="W41" s="216"/>
      <c r="X41" s="216"/>
      <c r="Y41" s="216"/>
      <c r="Z41" s="216"/>
      <c r="AA41" s="216"/>
      <c r="AB41" s="216"/>
      <c r="AC41" s="217"/>
      <c r="AD41" s="96"/>
      <c r="AE41" s="96"/>
      <c r="AF41" s="96"/>
      <c r="AG41" s="96"/>
      <c r="AH41" s="96"/>
      <c r="AI41" s="96"/>
      <c r="AJ41" s="96"/>
      <c r="AK41" s="96"/>
      <c r="AL41" s="96"/>
      <c r="AM41" s="96"/>
      <c r="AN41" s="96"/>
      <c r="AO41" s="96"/>
      <c r="AP41" s="96"/>
      <c r="AQ41" s="96"/>
      <c r="AR41" s="96"/>
      <c r="AS41" s="96"/>
      <c r="AT41" s="96"/>
      <c r="AU41" s="96"/>
      <c r="AV41" s="96"/>
      <c r="AW41" s="96"/>
      <c r="AX41" s="96"/>
      <c r="AY41" s="96"/>
      <c r="AZ41" s="96"/>
      <c r="BA41" s="96"/>
      <c r="BB41" s="104"/>
      <c r="BC41" s="96"/>
    </row>
    <row r="42" spans="1:59" ht="13.9" customHeight="1" x14ac:dyDescent="0.3">
      <c r="A42" s="107"/>
      <c r="B42" s="108"/>
      <c r="C42" s="211"/>
      <c r="D42" s="212"/>
      <c r="E42" s="212"/>
      <c r="F42" s="212"/>
      <c r="G42" s="212"/>
      <c r="H42" s="212"/>
      <c r="I42" s="212"/>
      <c r="J42" s="212"/>
      <c r="K42" s="213"/>
      <c r="L42" s="214"/>
      <c r="M42" s="214"/>
      <c r="N42" s="214"/>
      <c r="O42" s="214"/>
      <c r="P42" s="214"/>
      <c r="Q42" s="214"/>
      <c r="R42" s="214"/>
      <c r="S42" s="214"/>
      <c r="T42" s="215"/>
      <c r="U42" s="216"/>
      <c r="V42" s="216"/>
      <c r="W42" s="216"/>
      <c r="X42" s="216"/>
      <c r="Y42" s="216"/>
      <c r="Z42" s="216"/>
      <c r="AA42" s="216"/>
      <c r="AB42" s="216"/>
      <c r="AC42" s="217"/>
      <c r="AD42" s="96"/>
      <c r="AE42" s="96"/>
      <c r="AF42" s="96"/>
      <c r="AG42" s="96"/>
      <c r="AH42" s="96"/>
      <c r="AI42" s="96"/>
      <c r="AJ42" s="96"/>
      <c r="AK42" s="96"/>
      <c r="AL42" s="96"/>
      <c r="AM42" s="96"/>
      <c r="AN42" s="96"/>
      <c r="AO42" s="96"/>
      <c r="AP42" s="96"/>
      <c r="AQ42" s="96"/>
      <c r="AR42" s="96"/>
      <c r="AS42" s="96"/>
      <c r="AT42" s="96"/>
      <c r="AU42" s="96"/>
      <c r="AV42" s="96"/>
      <c r="AW42" s="96"/>
      <c r="AX42" s="96"/>
      <c r="AY42" s="96"/>
      <c r="AZ42" s="96"/>
      <c r="BA42" s="96"/>
      <c r="BB42" s="104"/>
      <c r="BC42" s="96"/>
    </row>
    <row r="43" spans="1:59" ht="13.9" customHeight="1" x14ac:dyDescent="0.3">
      <c r="A43" s="107"/>
      <c r="B43" s="108"/>
      <c r="C43" s="218" t="s">
        <v>443</v>
      </c>
      <c r="D43" s="219"/>
      <c r="E43" s="219"/>
      <c r="F43" s="219"/>
      <c r="G43" s="219"/>
      <c r="H43" s="219"/>
      <c r="I43" s="219"/>
      <c r="J43" s="219"/>
      <c r="K43" s="220"/>
      <c r="L43" s="221" t="str">
        <f>TEXT($N$99,"mmm")&amp;" vs "&amp;TEXT($M$99,"mmm")&amp;": "&amp;IFERROR(IF(($N$100+$N$101)&gt;($M$100+$M$101),"▲ ","▼ ")&amp;TEXT(ABS((($N$100+$N$101)/($M$100+$M$101))-1),"0.0%"),"—")</f>
        <v>Dec vs Nov: ▲ 14.8%</v>
      </c>
      <c r="M43" s="221"/>
      <c r="N43" s="221"/>
      <c r="O43" s="221"/>
      <c r="P43" s="221"/>
      <c r="Q43" s="221"/>
      <c r="R43" s="221"/>
      <c r="S43" s="221"/>
      <c r="T43" s="222"/>
      <c r="U43" s="223" t="str">
        <f>IFERROR(IF(($N$100+$N$101)&gt;($M$100+$M$101),"Increase","Decrease")&amp;" driven mainly by "&amp;$T$83,"—")</f>
        <v>Increase driven mainly by Scope 1</v>
      </c>
      <c r="V43" s="223"/>
      <c r="W43" s="223"/>
      <c r="X43" s="223"/>
      <c r="Y43" s="223"/>
      <c r="Z43" s="223"/>
      <c r="AA43" s="223"/>
      <c r="AB43" s="223"/>
      <c r="AC43" s="224"/>
      <c r="AD43" s="96"/>
      <c r="AE43" s="96"/>
      <c r="AF43" s="96"/>
      <c r="AG43" s="96"/>
      <c r="AH43" s="96"/>
      <c r="AI43" s="96"/>
      <c r="AJ43" s="96"/>
      <c r="AK43" s="96"/>
      <c r="AL43" s="96"/>
      <c r="AM43" s="96"/>
      <c r="AN43" s="96"/>
      <c r="AO43" s="96"/>
      <c r="AP43" s="96"/>
      <c r="AQ43" s="96"/>
      <c r="AR43" s="96"/>
      <c r="AS43" s="96"/>
      <c r="AT43" s="96"/>
      <c r="AU43" s="96"/>
      <c r="AV43" s="96"/>
      <c r="AW43" s="96"/>
      <c r="AX43" s="96"/>
      <c r="AY43" s="96"/>
      <c r="AZ43" s="96"/>
      <c r="BA43" s="96"/>
      <c r="BB43" s="104"/>
      <c r="BC43" s="96"/>
    </row>
    <row r="44" spans="1:59" ht="13.9" customHeight="1" x14ac:dyDescent="0.3">
      <c r="A44" s="107"/>
      <c r="B44" s="108"/>
      <c r="C44" s="211"/>
      <c r="D44" s="212"/>
      <c r="E44" s="212"/>
      <c r="F44" s="212"/>
      <c r="G44" s="212"/>
      <c r="H44" s="212"/>
      <c r="I44" s="212"/>
      <c r="J44" s="212"/>
      <c r="K44" s="213"/>
      <c r="L44" s="214"/>
      <c r="M44" s="214"/>
      <c r="N44" s="214"/>
      <c r="O44" s="214"/>
      <c r="P44" s="214"/>
      <c r="Q44" s="214"/>
      <c r="R44" s="214"/>
      <c r="S44" s="214"/>
      <c r="T44" s="215"/>
      <c r="U44" s="216"/>
      <c r="V44" s="216"/>
      <c r="W44" s="216"/>
      <c r="X44" s="216"/>
      <c r="Y44" s="216"/>
      <c r="Z44" s="216"/>
      <c r="AA44" s="216"/>
      <c r="AB44" s="216"/>
      <c r="AC44" s="217"/>
      <c r="AD44" s="96"/>
      <c r="AE44" s="96"/>
      <c r="AF44" s="96"/>
      <c r="AG44" s="96"/>
      <c r="AH44" s="96"/>
      <c r="AI44" s="96"/>
      <c r="AJ44" s="96"/>
      <c r="AK44" s="96"/>
      <c r="AL44" s="96"/>
      <c r="AM44" s="96"/>
      <c r="AN44" s="96"/>
      <c r="AO44" s="96"/>
      <c r="AP44" s="96"/>
      <c r="AQ44" s="96"/>
      <c r="AR44" s="96"/>
      <c r="AS44" s="96"/>
      <c r="AT44" s="96"/>
      <c r="AU44" s="96"/>
      <c r="AV44" s="96"/>
      <c r="AW44" s="96"/>
      <c r="AX44" s="96"/>
      <c r="AY44" s="96"/>
      <c r="AZ44" s="96"/>
      <c r="BA44" s="96"/>
      <c r="BB44" s="104"/>
      <c r="BC44" s="96"/>
    </row>
    <row r="45" spans="1:59" ht="13.9" customHeight="1" x14ac:dyDescent="0.3">
      <c r="A45" s="107"/>
      <c r="B45" s="108"/>
      <c r="C45" s="211"/>
      <c r="D45" s="212"/>
      <c r="E45" s="212"/>
      <c r="F45" s="212"/>
      <c r="G45" s="212"/>
      <c r="H45" s="212"/>
      <c r="I45" s="212"/>
      <c r="J45" s="212"/>
      <c r="K45" s="213"/>
      <c r="L45" s="214"/>
      <c r="M45" s="214"/>
      <c r="N45" s="214"/>
      <c r="O45" s="214"/>
      <c r="P45" s="214"/>
      <c r="Q45" s="214"/>
      <c r="R45" s="214"/>
      <c r="S45" s="214"/>
      <c r="T45" s="215"/>
      <c r="U45" s="216"/>
      <c r="V45" s="216"/>
      <c r="W45" s="216"/>
      <c r="X45" s="216"/>
      <c r="Y45" s="216"/>
      <c r="Z45" s="216"/>
      <c r="AA45" s="216"/>
      <c r="AB45" s="216"/>
      <c r="AC45" s="217"/>
      <c r="AD45" s="96"/>
      <c r="AE45" s="96"/>
      <c r="AF45" s="96"/>
      <c r="AG45" s="96"/>
      <c r="AH45" s="96"/>
      <c r="AI45" s="96"/>
      <c r="AJ45" s="96"/>
      <c r="AK45" s="96"/>
      <c r="AL45" s="96"/>
      <c r="AM45" s="96"/>
      <c r="AN45" s="96"/>
      <c r="AO45" s="96"/>
      <c r="AP45" s="96"/>
      <c r="AQ45" s="96"/>
      <c r="AR45" s="96"/>
      <c r="AS45" s="96"/>
      <c r="AT45" s="96"/>
      <c r="AU45" s="96"/>
      <c r="AV45" s="96"/>
      <c r="AW45" s="96"/>
      <c r="AX45" s="96"/>
      <c r="AY45" s="96"/>
      <c r="AZ45" s="96"/>
      <c r="BA45" s="96"/>
      <c r="BB45" s="104"/>
      <c r="BC45" s="96"/>
    </row>
    <row r="46" spans="1:59" ht="13.9" customHeight="1" x14ac:dyDescent="0.3">
      <c r="A46" s="107"/>
      <c r="B46" s="108"/>
      <c r="C46" s="218" t="s">
        <v>444</v>
      </c>
      <c r="D46" s="219"/>
      <c r="E46" s="219"/>
      <c r="F46" s="219"/>
      <c r="G46" s="219"/>
      <c r="H46" s="219"/>
      <c r="I46" s="219"/>
      <c r="J46" s="219"/>
      <c r="K46" s="220"/>
      <c r="L46" s="221" t="str">
        <f>$M$89&amp;" = "&amp;TEXT($M$90,"#,##0")&amp;" tCO₂e"</f>
        <v>Natural gas (stationary) = 463 tCO₂e</v>
      </c>
      <c r="M46" s="221"/>
      <c r="N46" s="221"/>
      <c r="O46" s="221"/>
      <c r="P46" s="221"/>
      <c r="Q46" s="221"/>
      <c r="R46" s="221"/>
      <c r="S46" s="221"/>
      <c r="T46" s="222"/>
      <c r="U46" s="223" t="str">
        <f>_xlfn.XLOOKUP($M$89,$H$65:$H$67,$I$65:$I$67,"Review emission drivers")&amp;" "&amp;LOWER(_xlfn.XLOOKUP($M$89,$H$65:$H$67,$J$65:$J$67,"efficiency review"))</f>
        <v>Stationary combustion efficiency + fuel mix</v>
      </c>
      <c r="V46" s="223"/>
      <c r="W46" s="223"/>
      <c r="X46" s="223"/>
      <c r="Y46" s="223"/>
      <c r="Z46" s="223"/>
      <c r="AA46" s="223"/>
      <c r="AB46" s="223"/>
      <c r="AC46" s="224"/>
      <c r="AD46" s="96"/>
      <c r="AE46" s="96"/>
      <c r="AF46" s="96"/>
      <c r="AG46" s="96"/>
      <c r="AH46" s="96"/>
      <c r="AI46" s="96"/>
      <c r="AJ46" s="96"/>
      <c r="AK46" s="96"/>
      <c r="AL46" s="96"/>
      <c r="AM46" s="96"/>
      <c r="AN46" s="96"/>
      <c r="AO46" s="96"/>
      <c r="AP46" s="96"/>
      <c r="AQ46" s="96"/>
      <c r="AR46" s="96"/>
      <c r="AS46" s="96"/>
      <c r="AT46" s="96"/>
      <c r="AU46" s="96"/>
      <c r="AV46" s="96"/>
      <c r="AW46" s="96"/>
      <c r="AX46" s="96"/>
      <c r="AY46" s="96"/>
      <c r="AZ46" s="96"/>
      <c r="BA46" s="96"/>
      <c r="BB46" s="104"/>
      <c r="BC46" s="96"/>
    </row>
    <row r="47" spans="1:59" ht="13.9" customHeight="1" x14ac:dyDescent="0.3">
      <c r="A47" s="107"/>
      <c r="B47" s="108"/>
      <c r="C47" s="211"/>
      <c r="D47" s="212"/>
      <c r="E47" s="212"/>
      <c r="F47" s="212"/>
      <c r="G47" s="212"/>
      <c r="H47" s="212"/>
      <c r="I47" s="212"/>
      <c r="J47" s="212"/>
      <c r="K47" s="213"/>
      <c r="L47" s="214"/>
      <c r="M47" s="214"/>
      <c r="N47" s="214"/>
      <c r="O47" s="214"/>
      <c r="P47" s="214"/>
      <c r="Q47" s="214"/>
      <c r="R47" s="214"/>
      <c r="S47" s="214"/>
      <c r="T47" s="215"/>
      <c r="U47" s="216"/>
      <c r="V47" s="216"/>
      <c r="W47" s="216"/>
      <c r="X47" s="216"/>
      <c r="Y47" s="216"/>
      <c r="Z47" s="216"/>
      <c r="AA47" s="216"/>
      <c r="AB47" s="216"/>
      <c r="AC47" s="217"/>
      <c r="AD47" s="96"/>
      <c r="AE47" s="96"/>
      <c r="AF47" s="96"/>
      <c r="AG47" s="96"/>
      <c r="AH47" s="96"/>
      <c r="AI47" s="96"/>
      <c r="AJ47" s="96"/>
      <c r="AK47" s="96"/>
      <c r="AL47" s="96"/>
      <c r="AM47" s="96"/>
      <c r="AN47" s="96"/>
      <c r="AO47" s="96"/>
      <c r="AP47" s="96"/>
      <c r="AQ47" s="96"/>
      <c r="AR47" s="96"/>
      <c r="AS47" s="96"/>
      <c r="AT47" s="96"/>
      <c r="AU47" s="96"/>
      <c r="AV47" s="96"/>
      <c r="AW47" s="96"/>
      <c r="AX47" s="96"/>
      <c r="AY47" s="96"/>
      <c r="AZ47" s="96"/>
      <c r="BA47" s="96"/>
      <c r="BB47" s="104"/>
      <c r="BC47" s="96"/>
    </row>
    <row r="48" spans="1:59" ht="13.9" customHeight="1" x14ac:dyDescent="0.3">
      <c r="A48" s="107"/>
      <c r="B48" s="108"/>
      <c r="C48" s="225"/>
      <c r="D48" s="226"/>
      <c r="E48" s="226"/>
      <c r="F48" s="226"/>
      <c r="G48" s="226"/>
      <c r="H48" s="226"/>
      <c r="I48" s="226"/>
      <c r="J48" s="226"/>
      <c r="K48" s="227"/>
      <c r="L48" s="228"/>
      <c r="M48" s="228"/>
      <c r="N48" s="228"/>
      <c r="O48" s="228"/>
      <c r="P48" s="228"/>
      <c r="Q48" s="228"/>
      <c r="R48" s="228"/>
      <c r="S48" s="228"/>
      <c r="T48" s="229"/>
      <c r="U48" s="230"/>
      <c r="V48" s="230"/>
      <c r="W48" s="230"/>
      <c r="X48" s="230"/>
      <c r="Y48" s="230"/>
      <c r="Z48" s="230"/>
      <c r="AA48" s="230"/>
      <c r="AB48" s="230"/>
      <c r="AC48" s="231"/>
      <c r="AD48" s="96"/>
      <c r="AE48" s="96"/>
      <c r="AF48" s="96"/>
      <c r="AG48" s="96"/>
      <c r="AH48" s="96"/>
      <c r="AI48" s="96"/>
      <c r="AJ48" s="96"/>
      <c r="AK48" s="96"/>
      <c r="AL48" s="96"/>
      <c r="AM48" s="96"/>
      <c r="AN48" s="96"/>
      <c r="AO48" s="96"/>
      <c r="AP48" s="96"/>
      <c r="AQ48" s="96"/>
      <c r="AR48" s="96"/>
      <c r="AS48" s="96"/>
      <c r="AT48" s="96"/>
      <c r="AU48" s="96"/>
      <c r="AV48" s="96"/>
      <c r="AW48" s="96"/>
      <c r="AX48" s="96"/>
      <c r="AY48" s="96"/>
      <c r="AZ48" s="96"/>
      <c r="BA48" s="96"/>
      <c r="BB48" s="104"/>
      <c r="BC48" s="96"/>
    </row>
    <row r="49" spans="1:57" ht="13.9" customHeight="1" x14ac:dyDescent="0.3">
      <c r="A49" s="107"/>
      <c r="B49" s="108"/>
      <c r="C49" s="206" t="str">
        <f>"Live from Scope 1 and Scope 2 tables  •  Reporting year "&amp;$M$97</f>
        <v>Live from Scope 1 and Scope 2 tables  •  Reporting year 2026</v>
      </c>
      <c r="D49" s="197"/>
      <c r="E49" s="197"/>
      <c r="F49" s="197"/>
      <c r="G49" s="197"/>
      <c r="H49" s="197"/>
      <c r="I49" s="197"/>
      <c r="J49" s="197"/>
      <c r="K49" s="197"/>
      <c r="L49" s="197"/>
      <c r="M49" s="197"/>
      <c r="N49" s="197"/>
      <c r="O49" s="197"/>
      <c r="P49" s="197"/>
      <c r="Q49" s="197"/>
      <c r="R49" s="197"/>
      <c r="S49" s="197"/>
      <c r="T49" s="197"/>
      <c r="U49" s="197"/>
      <c r="V49" s="197"/>
      <c r="W49" s="197"/>
      <c r="X49" s="197"/>
      <c r="Y49" s="197"/>
      <c r="Z49" s="197"/>
      <c r="AA49" s="197"/>
      <c r="AB49" s="197"/>
      <c r="AC49" s="207"/>
      <c r="AD49" s="96"/>
      <c r="AE49" s="96"/>
      <c r="AF49" s="96"/>
      <c r="AG49" s="96"/>
      <c r="AH49" s="96"/>
      <c r="AI49" s="96"/>
      <c r="AJ49" s="96"/>
      <c r="AK49" s="96"/>
      <c r="AL49" s="96"/>
      <c r="AM49" s="96"/>
      <c r="AN49" s="96"/>
      <c r="AO49" s="96"/>
      <c r="AP49" s="96"/>
      <c r="AQ49" s="96"/>
      <c r="AR49" s="96"/>
      <c r="AS49" s="96"/>
      <c r="AT49" s="96"/>
      <c r="AU49" s="96"/>
      <c r="AV49" s="96"/>
      <c r="AW49" s="96"/>
      <c r="AX49" s="96"/>
      <c r="AY49" s="96"/>
      <c r="AZ49" s="96"/>
      <c r="BA49" s="96"/>
      <c r="BB49" s="104"/>
      <c r="BC49" s="96"/>
    </row>
    <row r="50" spans="1:57" ht="13.9" customHeight="1" x14ac:dyDescent="0.3">
      <c r="A50" s="107"/>
      <c r="B50" s="108"/>
      <c r="C50" s="208"/>
      <c r="D50" s="209"/>
      <c r="E50" s="209"/>
      <c r="F50" s="209"/>
      <c r="G50" s="209"/>
      <c r="H50" s="209"/>
      <c r="I50" s="209"/>
      <c r="J50" s="209"/>
      <c r="K50" s="209"/>
      <c r="L50" s="209"/>
      <c r="M50" s="209"/>
      <c r="N50" s="209"/>
      <c r="O50" s="209"/>
      <c r="P50" s="209"/>
      <c r="Q50" s="209"/>
      <c r="R50" s="209"/>
      <c r="S50" s="209"/>
      <c r="T50" s="209"/>
      <c r="U50" s="209"/>
      <c r="V50" s="209"/>
      <c r="W50" s="209"/>
      <c r="X50" s="209"/>
      <c r="Y50" s="209"/>
      <c r="Z50" s="209"/>
      <c r="AA50" s="209"/>
      <c r="AB50" s="209"/>
      <c r="AC50" s="210"/>
      <c r="AD50" s="96"/>
      <c r="AE50" s="96"/>
      <c r="AF50" s="96"/>
      <c r="AG50" s="96"/>
      <c r="AH50" s="96"/>
      <c r="AI50" s="96"/>
      <c r="AJ50" s="96"/>
      <c r="AK50" s="96"/>
      <c r="AL50" s="96"/>
      <c r="AM50" s="96"/>
      <c r="AN50" s="96"/>
      <c r="AO50" s="96"/>
      <c r="AP50" s="96"/>
      <c r="AQ50" s="96"/>
      <c r="AR50" s="96"/>
      <c r="AS50" s="96"/>
      <c r="AT50" s="96"/>
      <c r="AU50" s="96"/>
      <c r="AV50" s="96"/>
      <c r="AW50" s="96"/>
      <c r="AX50" s="96"/>
      <c r="AY50" s="96"/>
      <c r="AZ50" s="96"/>
      <c r="BA50" s="96"/>
      <c r="BB50" s="104"/>
      <c r="BC50" s="96"/>
    </row>
    <row r="51" spans="1:57" ht="3.4" customHeight="1" x14ac:dyDescent="0.3">
      <c r="A51" s="107"/>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c r="AA51" s="108"/>
      <c r="AB51" s="108"/>
      <c r="AC51" s="108"/>
      <c r="AD51" s="108"/>
      <c r="AE51" s="108"/>
      <c r="AF51" s="108"/>
      <c r="AG51" s="108"/>
      <c r="AH51" s="108"/>
      <c r="AI51" s="108"/>
      <c r="AJ51" s="108"/>
      <c r="AK51" s="108"/>
      <c r="AL51" s="108"/>
      <c r="AM51" s="108"/>
      <c r="AN51" s="108"/>
      <c r="AO51" s="108"/>
      <c r="AP51" s="108"/>
      <c r="AQ51" s="108"/>
      <c r="AR51" s="108"/>
      <c r="AS51" s="108"/>
      <c r="AT51" s="108"/>
      <c r="AU51" s="108"/>
      <c r="AV51" s="108"/>
      <c r="AW51" s="108"/>
      <c r="AX51" s="108"/>
      <c r="AY51" s="108"/>
      <c r="AZ51" s="108"/>
      <c r="BA51" s="108"/>
      <c r="BB51" s="96"/>
      <c r="BC51" s="96"/>
    </row>
    <row r="52" spans="1:57" ht="12.75" customHeight="1" x14ac:dyDescent="0.3">
      <c r="A52" s="107"/>
      <c r="B52" s="112" t="str">
        <f>"All company, facility and activity data is fictional sample data. Emission factors: ECCC Emission Factors and Reference Values v3.0 (Oct 2025), for calendar year "&amp;$M$97&amp;". Location based Scope 2."</f>
        <v>All company, facility and activity data is fictional sample data. Emission factors: ECCC Emission Factors and Reference Values v3.0 (Oct 2025), for calendar year 2026. Location based Scope 2.</v>
      </c>
      <c r="C52" s="112"/>
      <c r="D52" s="112"/>
      <c r="E52" s="112"/>
      <c r="F52" s="112"/>
      <c r="G52" s="112"/>
      <c r="H52" s="112"/>
      <c r="I52" s="112"/>
      <c r="J52" s="112"/>
      <c r="K52" s="112"/>
      <c r="L52" s="112"/>
      <c r="M52" s="112"/>
      <c r="N52" s="112"/>
      <c r="O52" s="112"/>
      <c r="P52" s="112"/>
      <c r="Q52" s="112"/>
      <c r="R52" s="112"/>
      <c r="S52" s="112"/>
      <c r="T52" s="112"/>
      <c r="U52" s="112"/>
      <c r="V52" s="112"/>
      <c r="W52" s="112"/>
      <c r="X52" s="112"/>
      <c r="Y52" s="112"/>
      <c r="Z52" s="112"/>
      <c r="AA52" s="112"/>
      <c r="AB52" s="112"/>
      <c r="AC52" s="112"/>
      <c r="AD52" s="112"/>
      <c r="AE52" s="112"/>
      <c r="AF52" s="112"/>
      <c r="AG52" s="112"/>
      <c r="AH52" s="112"/>
      <c r="AI52" s="112"/>
      <c r="AJ52" s="112"/>
      <c r="AK52" s="112"/>
      <c r="AL52" s="112"/>
      <c r="AM52" s="112"/>
      <c r="AN52" s="112"/>
      <c r="AO52" s="112"/>
      <c r="AP52" s="112"/>
      <c r="AQ52" s="112"/>
      <c r="AR52" s="112"/>
      <c r="AS52" s="112"/>
      <c r="AT52" s="112"/>
      <c r="AU52" s="112"/>
      <c r="AV52" s="112"/>
      <c r="AW52" s="112"/>
      <c r="AX52" s="112"/>
      <c r="AY52" s="112"/>
      <c r="AZ52" s="112"/>
      <c r="BA52" s="112"/>
      <c r="BB52" s="96"/>
      <c r="BC52" s="96"/>
    </row>
    <row r="53" spans="1:57" ht="19.5" customHeight="1" x14ac:dyDescent="0.25">
      <c r="A53" s="1"/>
      <c r="B53" s="112" t="s">
        <v>435</v>
      </c>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95"/>
      <c r="AE53" s="1"/>
      <c r="AF53" s="1"/>
      <c r="AG53" s="1"/>
      <c r="AH53" s="1"/>
      <c r="AI53" s="1"/>
      <c r="AJ53" s="1"/>
      <c r="AK53" s="1"/>
      <c r="AL53" s="1"/>
      <c r="AM53" s="1"/>
      <c r="AN53" s="1"/>
      <c r="AO53" s="1"/>
      <c r="AP53" s="1"/>
      <c r="AQ53" s="1"/>
      <c r="AR53" s="1"/>
      <c r="AS53" s="1"/>
      <c r="AT53" s="1"/>
      <c r="AU53" s="1"/>
      <c r="AV53" s="1"/>
      <c r="AW53" s="1"/>
      <c r="AX53" s="1"/>
      <c r="AY53" s="96"/>
      <c r="AZ53" s="96"/>
      <c r="BA53" s="96"/>
      <c r="BB53" s="96"/>
      <c r="BC53" s="96"/>
    </row>
    <row r="54" spans="1:57" ht="7.5" customHeight="1" x14ac:dyDescent="0.25">
      <c r="A54" s="113"/>
      <c r="B54" s="103"/>
      <c r="C54" s="103"/>
      <c r="D54" s="103"/>
      <c r="E54" s="103"/>
      <c r="F54" s="103"/>
      <c r="G54" s="103"/>
      <c r="H54" s="103"/>
      <c r="I54" s="103"/>
      <c r="J54" s="103"/>
      <c r="K54" s="103"/>
      <c r="L54" s="103"/>
      <c r="M54" s="103"/>
      <c r="N54" s="103"/>
      <c r="O54" s="103"/>
      <c r="P54" s="103"/>
      <c r="Q54" s="103"/>
      <c r="R54" s="103"/>
      <c r="S54" s="103"/>
      <c r="T54" s="103"/>
      <c r="U54" s="103"/>
      <c r="V54" s="103"/>
      <c r="W54" s="103"/>
      <c r="X54" s="103"/>
      <c r="Y54" s="103"/>
      <c r="Z54" s="103"/>
      <c r="AA54" s="103"/>
      <c r="AB54" s="103"/>
      <c r="AC54" s="103"/>
      <c r="AD54" s="103"/>
      <c r="AE54" s="103"/>
      <c r="AF54" s="103"/>
      <c r="AG54" s="103"/>
      <c r="AH54" s="103"/>
      <c r="AI54" s="103"/>
      <c r="AJ54" s="103"/>
      <c r="AK54" s="103"/>
      <c r="AL54" s="103"/>
      <c r="AM54" s="103"/>
      <c r="AN54" s="103"/>
      <c r="AO54" s="103"/>
      <c r="AP54" s="103"/>
      <c r="AQ54" s="103"/>
      <c r="AR54" s="103"/>
      <c r="AS54" s="103"/>
      <c r="AT54" s="103"/>
      <c r="AU54" s="103"/>
      <c r="AV54" s="103"/>
      <c r="AW54" s="103"/>
      <c r="AX54" s="103"/>
      <c r="AY54" s="104"/>
      <c r="AZ54" s="104"/>
      <c r="BA54" s="104"/>
      <c r="BB54" s="104"/>
      <c r="BC54" s="104"/>
      <c r="BD54" s="104"/>
      <c r="BE54" s="104"/>
    </row>
    <row r="55" spans="1:57" ht="7.5" customHeight="1" x14ac:dyDescent="0.25">
      <c r="A55" s="113"/>
      <c r="B55" s="103"/>
      <c r="C55" s="103"/>
      <c r="D55" s="103"/>
      <c r="E55" s="103"/>
      <c r="F55" s="103"/>
      <c r="G55" s="103"/>
      <c r="H55" s="103"/>
      <c r="I55" s="103"/>
      <c r="J55" s="103"/>
      <c r="K55" s="103"/>
      <c r="L55" s="103"/>
      <c r="M55" s="103"/>
      <c r="N55" s="103"/>
      <c r="O55" s="103"/>
      <c r="P55" s="103"/>
      <c r="Q55" s="103"/>
      <c r="R55" s="103"/>
      <c r="S55" s="103"/>
      <c r="T55" s="103"/>
      <c r="U55" s="103"/>
      <c r="V55" s="103"/>
      <c r="W55" s="103"/>
      <c r="X55" s="103"/>
      <c r="Y55" s="103"/>
      <c r="Z55" s="103"/>
      <c r="AA55" s="103"/>
      <c r="AB55" s="103"/>
      <c r="AC55" s="103"/>
      <c r="AD55" s="103"/>
      <c r="AE55" s="103"/>
      <c r="AF55" s="103"/>
      <c r="AG55" s="103"/>
      <c r="AH55" s="103"/>
      <c r="AI55" s="103"/>
      <c r="AJ55" s="103"/>
      <c r="AK55" s="103"/>
      <c r="AL55" s="103"/>
      <c r="AM55" s="103"/>
      <c r="AN55" s="103"/>
      <c r="AO55" s="103"/>
      <c r="AP55" s="103"/>
      <c r="AQ55" s="103"/>
      <c r="AR55" s="103"/>
      <c r="AS55" s="103"/>
      <c r="AT55" s="103"/>
      <c r="AU55" s="103"/>
      <c r="AV55" s="103"/>
      <c r="AW55" s="103"/>
      <c r="AX55" s="103"/>
      <c r="AY55" s="104"/>
      <c r="AZ55" s="104"/>
      <c r="BA55" s="104"/>
      <c r="BB55" s="104"/>
      <c r="BC55" s="104"/>
      <c r="BD55" s="104"/>
      <c r="BE55" s="104"/>
    </row>
    <row r="56" spans="1:57" ht="7.5" customHeight="1" x14ac:dyDescent="0.25">
      <c r="A56" s="113"/>
      <c r="B56" s="103"/>
      <c r="C56" s="103"/>
      <c r="D56" s="103"/>
      <c r="E56" s="103"/>
      <c r="F56" s="103"/>
      <c r="G56" s="103"/>
      <c r="H56" s="103"/>
      <c r="I56" s="103"/>
      <c r="J56" s="103"/>
      <c r="K56" s="103"/>
      <c r="L56" s="103"/>
      <c r="M56" s="103"/>
      <c r="N56" s="103"/>
      <c r="O56" s="103"/>
      <c r="P56" s="103"/>
      <c r="Q56" s="103"/>
      <c r="R56" s="103"/>
      <c r="S56" s="103"/>
      <c r="T56" s="103"/>
      <c r="U56" s="103"/>
      <c r="V56" s="103"/>
      <c r="W56" s="103"/>
      <c r="X56" s="103"/>
      <c r="Y56" s="103"/>
      <c r="Z56" s="103"/>
      <c r="AA56" s="103"/>
      <c r="AB56" s="103"/>
      <c r="AC56" s="103"/>
      <c r="AD56" s="103"/>
      <c r="AE56" s="103"/>
      <c r="AF56" s="103"/>
      <c r="AG56" s="103"/>
      <c r="AH56" s="103"/>
      <c r="AI56" s="103"/>
      <c r="AJ56" s="103"/>
      <c r="AK56" s="103"/>
      <c r="AL56" s="103"/>
      <c r="AM56" s="103"/>
      <c r="AN56" s="103"/>
      <c r="AO56" s="103"/>
      <c r="AP56" s="103"/>
      <c r="AQ56" s="103"/>
      <c r="AR56" s="103"/>
      <c r="AS56" s="103"/>
      <c r="AT56" s="103"/>
      <c r="AU56" s="103"/>
      <c r="AV56" s="103"/>
      <c r="AW56" s="103"/>
      <c r="AX56" s="103"/>
      <c r="AY56" s="104"/>
      <c r="AZ56" s="104"/>
      <c r="BA56" s="104"/>
      <c r="BB56" s="104"/>
      <c r="BC56" s="104"/>
      <c r="BD56" s="104"/>
      <c r="BE56" s="104"/>
    </row>
    <row r="57" spans="1:57" ht="7.5" customHeight="1" x14ac:dyDescent="0.25">
      <c r="A57" s="113"/>
      <c r="B57" s="103"/>
      <c r="C57" s="103"/>
      <c r="D57" s="103"/>
      <c r="E57" s="103"/>
      <c r="F57" s="103"/>
      <c r="G57" s="103"/>
      <c r="H57" s="103"/>
      <c r="I57" s="103"/>
      <c r="J57" s="103"/>
      <c r="K57" s="103"/>
      <c r="L57" s="103"/>
      <c r="M57" s="103"/>
      <c r="N57" s="103"/>
      <c r="O57" s="103"/>
      <c r="P57" s="103"/>
      <c r="Q57" s="103"/>
      <c r="R57" s="103"/>
      <c r="S57" s="103"/>
      <c r="T57" s="103"/>
      <c r="U57" s="103"/>
      <c r="V57" s="103"/>
      <c r="W57" s="103"/>
      <c r="X57" s="103"/>
      <c r="Y57" s="103"/>
      <c r="Z57" s="103"/>
      <c r="AA57" s="103"/>
      <c r="AB57" s="103"/>
      <c r="AC57" s="103"/>
      <c r="AD57" s="103"/>
      <c r="AE57" s="103"/>
      <c r="AF57" s="103"/>
      <c r="AG57" s="103"/>
      <c r="AH57" s="103"/>
      <c r="AI57" s="103"/>
      <c r="AJ57" s="103"/>
      <c r="AK57" s="103"/>
      <c r="AL57" s="103"/>
      <c r="AM57" s="103"/>
      <c r="AN57" s="103"/>
      <c r="AO57" s="103"/>
      <c r="AP57" s="103"/>
      <c r="AQ57" s="103"/>
      <c r="AR57" s="103"/>
      <c r="AS57" s="103"/>
      <c r="AT57" s="103"/>
      <c r="AU57" s="103"/>
      <c r="AV57" s="103"/>
      <c r="AW57" s="103"/>
      <c r="AX57" s="103"/>
      <c r="AY57" s="104"/>
      <c r="AZ57" s="104"/>
      <c r="BA57" s="104"/>
      <c r="BB57" s="104"/>
      <c r="BC57" s="104"/>
      <c r="BD57" s="104"/>
      <c r="BE57" s="104"/>
    </row>
    <row r="58" spans="1:57" ht="7.5" customHeight="1" x14ac:dyDescent="0.25">
      <c r="A58" s="113"/>
      <c r="B58" s="103"/>
      <c r="C58" s="103"/>
      <c r="D58" s="103"/>
      <c r="E58" s="103"/>
      <c r="F58" s="103"/>
      <c r="G58" s="103"/>
      <c r="H58" s="103"/>
      <c r="I58" s="103"/>
      <c r="J58" s="103"/>
      <c r="K58" s="103"/>
      <c r="L58" s="103"/>
      <c r="M58" s="103"/>
      <c r="N58" s="103"/>
      <c r="O58" s="103"/>
      <c r="P58" s="103"/>
      <c r="Q58" s="103"/>
      <c r="R58" s="103"/>
      <c r="S58" s="103"/>
      <c r="T58" s="103"/>
      <c r="U58" s="103"/>
      <c r="V58" s="103"/>
      <c r="W58" s="103"/>
      <c r="X58" s="103"/>
      <c r="Y58" s="103"/>
      <c r="Z58" s="103"/>
      <c r="AA58" s="103"/>
      <c r="AB58" s="103"/>
      <c r="AC58" s="103"/>
      <c r="AD58" s="103"/>
      <c r="AE58" s="103"/>
      <c r="AF58" s="103"/>
      <c r="AG58" s="103"/>
      <c r="AH58" s="103"/>
      <c r="AI58" s="103"/>
      <c r="AJ58" s="103"/>
      <c r="AK58" s="103"/>
      <c r="AL58" s="103"/>
      <c r="AM58" s="103"/>
      <c r="AN58" s="103"/>
      <c r="AO58" s="103"/>
      <c r="AP58" s="103"/>
      <c r="AQ58" s="103"/>
      <c r="AR58" s="103"/>
      <c r="AS58" s="103"/>
      <c r="AT58" s="103"/>
      <c r="AU58" s="103"/>
      <c r="AV58" s="103"/>
      <c r="AW58" s="103"/>
      <c r="AX58" s="103"/>
      <c r="AY58" s="104"/>
      <c r="AZ58" s="104"/>
      <c r="BA58" s="104"/>
      <c r="BB58" s="104"/>
      <c r="BC58" s="104"/>
      <c r="BD58" s="104"/>
      <c r="BE58" s="104"/>
    </row>
    <row r="60" spans="1:57" x14ac:dyDescent="0.25">
      <c r="B60" s="139" t="s">
        <v>1</v>
      </c>
      <c r="C60" s="140"/>
      <c r="D60" s="140"/>
      <c r="E60" s="140"/>
      <c r="F60" s="140"/>
      <c r="G60" s="140"/>
      <c r="H60" s="140"/>
      <c r="I60" s="140"/>
      <c r="J60" s="140"/>
      <c r="K60" s="140"/>
      <c r="L60" s="140"/>
      <c r="M60" s="140"/>
      <c r="N60" s="140"/>
      <c r="O60" s="140"/>
      <c r="P60" s="140"/>
      <c r="Q60" s="140"/>
      <c r="R60" s="140"/>
      <c r="S60" s="140"/>
      <c r="T60" s="140"/>
      <c r="U60" s="140"/>
      <c r="V60" s="140"/>
      <c r="W60" s="140"/>
      <c r="X60" s="140"/>
      <c r="Y60" s="140"/>
      <c r="Z60" s="140"/>
      <c r="AA60" s="140"/>
      <c r="AB60" s="140"/>
    </row>
    <row r="61" spans="1:57" x14ac:dyDescent="0.25">
      <c r="B61" s="148" t="s">
        <v>2</v>
      </c>
      <c r="C61" s="148"/>
      <c r="D61" s="148"/>
      <c r="E61" s="148"/>
      <c r="F61" s="148"/>
      <c r="G61" s="148"/>
      <c r="H61" s="148"/>
      <c r="I61" s="148"/>
      <c r="J61" s="148"/>
      <c r="K61" s="148"/>
      <c r="L61" s="148"/>
      <c r="M61" s="148"/>
      <c r="N61" s="148"/>
      <c r="O61" s="148"/>
      <c r="P61" s="148"/>
      <c r="Q61" s="148"/>
      <c r="R61" s="148"/>
      <c r="S61" s="148"/>
      <c r="T61" s="148"/>
      <c r="U61" s="148"/>
      <c r="V61" s="148"/>
      <c r="W61" s="148"/>
      <c r="X61" s="148"/>
      <c r="Y61" s="148"/>
      <c r="Z61" s="148"/>
      <c r="AA61" s="148"/>
      <c r="AB61" s="148"/>
    </row>
    <row r="62" spans="1:57" x14ac:dyDescent="0.25">
      <c r="B62" s="140"/>
      <c r="C62" s="140"/>
      <c r="D62" s="140"/>
      <c r="E62" s="140"/>
      <c r="F62" s="140"/>
      <c r="G62" s="140"/>
      <c r="H62" s="140"/>
      <c r="I62" s="140"/>
      <c r="J62" s="140"/>
      <c r="K62" s="140"/>
      <c r="L62" s="140"/>
      <c r="M62" s="140"/>
      <c r="N62" s="140"/>
      <c r="O62" s="140"/>
      <c r="P62" s="140"/>
      <c r="Q62" s="140"/>
      <c r="R62" s="140"/>
      <c r="S62" s="140"/>
      <c r="T62" s="140"/>
      <c r="U62" s="140"/>
      <c r="V62" s="140"/>
      <c r="W62" s="140"/>
      <c r="X62" s="140"/>
      <c r="Y62" s="140"/>
      <c r="Z62" s="140"/>
      <c r="AA62" s="140"/>
      <c r="AB62" s="140"/>
    </row>
    <row r="63" spans="1:57" x14ac:dyDescent="0.25">
      <c r="B63" s="160" t="s">
        <v>410</v>
      </c>
      <c r="C63" s="149"/>
      <c r="D63" s="149"/>
      <c r="E63" s="149"/>
      <c r="F63" s="149"/>
      <c r="G63" s="149"/>
      <c r="H63" s="160" t="s">
        <v>413</v>
      </c>
      <c r="I63" s="149"/>
      <c r="J63" s="149"/>
      <c r="K63" s="149"/>
      <c r="L63" s="149"/>
      <c r="M63" s="150"/>
      <c r="N63" s="150"/>
      <c r="O63" s="150"/>
      <c r="P63" s="150"/>
      <c r="Q63" s="140"/>
      <c r="R63" s="140"/>
      <c r="S63" s="140"/>
      <c r="T63" s="140"/>
      <c r="U63" s="140"/>
      <c r="V63" s="140"/>
      <c r="W63" s="140"/>
      <c r="X63" s="140"/>
      <c r="Y63" s="140"/>
      <c r="Z63" s="140"/>
      <c r="AA63" s="140"/>
      <c r="AB63" s="140"/>
    </row>
    <row r="64" spans="1:57" x14ac:dyDescent="0.25">
      <c r="B64" s="161" t="s">
        <v>187</v>
      </c>
      <c r="C64" s="161" t="s">
        <v>3</v>
      </c>
      <c r="D64" s="161" t="s">
        <v>411</v>
      </c>
      <c r="E64" s="161" t="s">
        <v>412</v>
      </c>
      <c r="F64" s="148"/>
      <c r="G64" s="148"/>
      <c r="H64" s="161" t="s">
        <v>414</v>
      </c>
      <c r="I64" s="161" t="s">
        <v>407</v>
      </c>
      <c r="J64" s="161" t="s">
        <v>415</v>
      </c>
      <c r="K64" s="148"/>
      <c r="L64" s="148"/>
      <c r="M64" s="151"/>
      <c r="N64" s="152"/>
      <c r="O64" s="152"/>
      <c r="P64" s="152"/>
      <c r="Q64" s="140"/>
      <c r="R64" s="140"/>
      <c r="S64" s="140"/>
      <c r="T64" s="140"/>
      <c r="U64" s="140"/>
      <c r="V64" s="140"/>
      <c r="W64" s="140"/>
      <c r="X64" s="140"/>
      <c r="Y64" s="140"/>
      <c r="Z64" s="140"/>
      <c r="AA64" s="140"/>
      <c r="AB64" s="140"/>
    </row>
    <row r="65" spans="2:28" x14ac:dyDescent="0.25">
      <c r="B65" s="162" t="str" cm="1">
        <f t="array" ref="B65:B67">_xlfn.LET(_xlpm.fuel,tblScope1[Activity / Fuel],_xlpm.src,tblScope1[Emission Source],_xlpm.amt,tblScope1[tCO₂e],_xlpm.combos,_xlfn.UNIQUE(_xlfn.HSTACK(_xlpm.src,_xlpm.fuel)),_xlpm.cat,INDEX(_xlpm.combos,0,1),_xlpm.fl,INDEX(_xlpm.combos,0,2),_xlpm.vals,SUMIFS(_xlpm.amt,_xlpm.src,_xlpm.cat,_xlpm.fuel,_xlpm.fl),_xlpm.labels,_xlpm.fl&amp;" ("&amp;LOWER(LEFT(_xlpm.cat,IFERROR(FIND(" ",_xlpm.cat)-1,LEN(_xlpm.cat))))&amp;")",_xlfn.SORTBY(_xlpm.labels,_xlpm.vals,1))</f>
        <v>Diesel (mobile)</v>
      </c>
      <c r="C65" s="163" cm="1">
        <f t="array" ref="C65:C67">_xlfn.LET(_xlpm.fuel,tblScope1[Activity / Fuel],_xlpm.src,tblScope1[Emission Source],_xlpm.amt,tblScope1[tCO₂e],_xlpm.combos,_xlfn.UNIQUE(_xlfn.HSTACK(_xlpm.src,_xlpm.fuel)),_xlpm.cat,INDEX(_xlpm.combos,0,1),_xlpm.fl,INDEX(_xlpm.combos,0,2),_xlpm.vals,SUMIFS(_xlpm.amt,_xlpm.src,_xlpm.cat,_xlpm.fuel,_xlpm.fl),_xlfn.SORTBY(_xlpm.vals,_xlpm.vals,1))</f>
        <v>76.448668020000014</v>
      </c>
      <c r="D65" s="164" cm="1">
        <f t="array" ref="D65:D67">_xlfn.LET(_xlpm.fuel,tblScope1[Activity / Fuel],_xlpm.src,tblScope1[Emission Source],_xlpm.amt,tblScope1[tCO₂e],_xlpm.combos,_xlfn.UNIQUE(_xlfn.HSTACK(_xlpm.src,_xlpm.fuel)),_xlpm.cat,INDEX(_xlpm.combos,0,1),_xlpm.fl,INDEX(_xlpm.combos,0,2),_xlpm.vals,SUMIFS(_xlpm.amt,_xlpm.src,_xlpm.cat,_xlpm.fuel,_xlpm.fl),_xlpm.pct,IFERROR(_xlpm.vals/SUM(_xlpm.vals),0),_xlfn.SORTBY(_xlpm.pct,_xlpm.vals,1))</f>
        <v>0.11249803542946457</v>
      </c>
      <c r="E65" s="162" t="str" cm="1">
        <f t="array" ref="E65:E67">_xlfn.LET(_xlpm.fuel,tblScope1[Activity / Fuel],_xlpm.src,tblScope1[Emission Source],_xlpm.amt,tblScope1[tCO₂e],_xlpm.combos,_xlfn.UNIQUE(_xlfn.HSTACK(_xlpm.src,_xlpm.fuel)),_xlpm.cat,INDEX(_xlpm.combos,0,1),_xlpm.fl,INDEX(_xlpm.combos,0,2),_xlpm.vals,SUMIFS(_xlpm.amt,_xlpm.src,_xlpm.cat,_xlpm.fuel,_xlpm.fl),_xlpm.labels,_xlpm.fl&amp;" ("&amp;LOWER(LEFT(_xlpm.cat,IFERROR(FIND(" ",_xlpm.cat)-1,LEN(_xlpm.cat))))&amp;")",_xlpm.pct,IFERROR(_xlpm.vals/SUM(_xlpm.vals),0),_xlfn.SORTBY(_xlpm.labels&amp;" · "&amp;TEXT(_xlpm.pct,"0.0%"),_xlpm.vals,1))</f>
        <v>Diesel (mobile) · 11.2%</v>
      </c>
      <c r="F65" s="148"/>
      <c r="G65" s="148"/>
      <c r="H65" s="162" t="s">
        <v>4</v>
      </c>
      <c r="I65" s="162" t="s">
        <v>46</v>
      </c>
      <c r="J65" s="162" t="s">
        <v>416</v>
      </c>
      <c r="K65" s="148"/>
      <c r="L65" s="148"/>
      <c r="M65" s="151"/>
      <c r="N65" s="152"/>
      <c r="O65" s="152"/>
      <c r="P65" s="152"/>
      <c r="Q65" s="140"/>
      <c r="R65" s="140"/>
      <c r="S65" s="140"/>
      <c r="T65" s="140"/>
      <c r="U65" s="140"/>
      <c r="V65" s="140"/>
      <c r="W65" s="140"/>
      <c r="X65" s="140"/>
      <c r="Y65" s="140"/>
      <c r="Z65" s="140"/>
      <c r="AA65" s="140"/>
      <c r="AB65" s="140"/>
    </row>
    <row r="66" spans="2:28" x14ac:dyDescent="0.25">
      <c r="B66" s="148" t="str">
        <v>Motor gasoline (mobile)</v>
      </c>
      <c r="C66" s="148">
        <v>139.90149300000002</v>
      </c>
      <c r="D66" s="148">
        <v>0.20587203837261817</v>
      </c>
      <c r="E66" s="148" t="str">
        <v>Motor gasoline (mobile) · 20.6%</v>
      </c>
      <c r="F66" s="148"/>
      <c r="G66" s="148"/>
      <c r="H66" s="162" t="s">
        <v>5</v>
      </c>
      <c r="I66" s="162" t="s">
        <v>417</v>
      </c>
      <c r="J66" s="162" t="s">
        <v>418</v>
      </c>
      <c r="K66" s="148"/>
      <c r="L66" s="148"/>
      <c r="M66" s="151"/>
      <c r="N66" s="152"/>
      <c r="O66" s="152"/>
      <c r="P66" s="152"/>
      <c r="Q66" s="140"/>
      <c r="R66" s="140"/>
      <c r="S66" s="140"/>
      <c r="T66" s="140"/>
      <c r="U66" s="140"/>
      <c r="V66" s="140"/>
      <c r="W66" s="140"/>
      <c r="X66" s="140"/>
      <c r="Y66" s="140"/>
      <c r="Z66" s="140"/>
      <c r="AA66" s="140"/>
      <c r="AB66" s="140"/>
    </row>
    <row r="67" spans="2:28" x14ac:dyDescent="0.25">
      <c r="B67" s="149" t="str">
        <v>Natural gas (stationary)</v>
      </c>
      <c r="C67" s="149">
        <v>463.20542168999992</v>
      </c>
      <c r="D67" s="149">
        <v>0.68162992619791729</v>
      </c>
      <c r="E67" s="149" t="str">
        <v>Natural gas (stationary) · 68.2%</v>
      </c>
      <c r="F67" s="149"/>
      <c r="G67" s="149"/>
      <c r="H67" s="165" t="s">
        <v>6</v>
      </c>
      <c r="I67" s="165" t="s">
        <v>419</v>
      </c>
      <c r="J67" s="165" t="s">
        <v>420</v>
      </c>
      <c r="K67" s="149"/>
      <c r="L67" s="149"/>
      <c r="M67" s="153"/>
      <c r="N67" s="153"/>
      <c r="O67" s="153"/>
      <c r="P67" s="153"/>
      <c r="Q67" s="140"/>
      <c r="R67" s="140"/>
      <c r="S67" s="140"/>
      <c r="T67" s="140"/>
      <c r="U67" s="140"/>
      <c r="V67" s="140"/>
      <c r="W67" s="140"/>
      <c r="X67" s="140"/>
      <c r="Y67" s="140"/>
      <c r="Z67" s="140"/>
      <c r="AA67" s="140"/>
      <c r="AB67" s="140"/>
    </row>
    <row r="68" spans="2:28" x14ac:dyDescent="0.25">
      <c r="B68" s="140"/>
      <c r="C68" s="140"/>
      <c r="D68" s="140"/>
      <c r="E68" s="140"/>
      <c r="F68" s="140"/>
      <c r="G68" s="140"/>
      <c r="H68" s="166" t="s">
        <v>421</v>
      </c>
      <c r="I68" s="140"/>
      <c r="J68" s="140"/>
      <c r="K68" s="140"/>
      <c r="L68" s="140"/>
      <c r="M68" s="140"/>
      <c r="N68" s="140"/>
      <c r="O68" s="140"/>
      <c r="P68" s="140"/>
      <c r="Q68" s="140"/>
      <c r="R68" s="140"/>
      <c r="S68" s="140"/>
      <c r="T68" s="140"/>
      <c r="U68" s="140"/>
      <c r="V68" s="140"/>
      <c r="W68" s="140"/>
      <c r="X68" s="140"/>
      <c r="Y68" s="140"/>
      <c r="Z68" s="140"/>
      <c r="AA68" s="140"/>
      <c r="AB68" s="140"/>
    </row>
    <row r="69" spans="2:28" x14ac:dyDescent="0.25">
      <c r="B69" s="149"/>
      <c r="C69" s="149"/>
      <c r="D69" s="149"/>
      <c r="E69" s="149"/>
      <c r="F69" s="149"/>
      <c r="G69" s="149"/>
      <c r="H69" s="149"/>
      <c r="I69" s="149"/>
      <c r="J69" s="149"/>
      <c r="K69" s="149"/>
      <c r="L69" s="149"/>
      <c r="M69" s="150"/>
      <c r="N69" s="150"/>
      <c r="O69" s="150"/>
      <c r="P69" s="150"/>
      <c r="Q69" s="140"/>
      <c r="R69" s="149"/>
      <c r="S69" s="149"/>
      <c r="T69" s="149"/>
      <c r="U69" s="149"/>
      <c r="V69" s="149"/>
      <c r="W69" s="149"/>
      <c r="X69" s="149"/>
      <c r="Y69" s="149"/>
      <c r="Z69" s="149"/>
      <c r="AA69" s="149"/>
      <c r="AB69" s="149"/>
    </row>
    <row r="70" spans="2:28" x14ac:dyDescent="0.25">
      <c r="B70" s="148"/>
      <c r="C70" s="148"/>
      <c r="D70" s="148"/>
      <c r="E70" s="148"/>
      <c r="F70" s="148"/>
      <c r="G70" s="148"/>
      <c r="H70" s="148"/>
      <c r="I70" s="148"/>
      <c r="J70" s="148"/>
      <c r="K70" s="148"/>
      <c r="L70" s="148"/>
      <c r="M70" s="151"/>
      <c r="N70" s="152"/>
      <c r="O70" s="152"/>
      <c r="P70" s="152"/>
      <c r="Q70" s="140"/>
      <c r="R70" s="148"/>
      <c r="S70" s="148"/>
      <c r="T70" s="148"/>
      <c r="U70" s="148"/>
      <c r="V70" s="148"/>
      <c r="W70" s="148"/>
      <c r="X70" s="148"/>
      <c r="Y70" s="148"/>
      <c r="Z70" s="148"/>
      <c r="AA70" s="148"/>
      <c r="AB70" s="148"/>
    </row>
    <row r="71" spans="2:28" x14ac:dyDescent="0.25">
      <c r="B71" s="148"/>
      <c r="C71" s="148"/>
      <c r="D71" s="148"/>
      <c r="E71" s="148"/>
      <c r="F71" s="148"/>
      <c r="G71" s="148"/>
      <c r="H71" s="148"/>
      <c r="I71" s="148"/>
      <c r="J71" s="148"/>
      <c r="K71" s="148"/>
      <c r="L71" s="148"/>
      <c r="M71" s="151"/>
      <c r="N71" s="152"/>
      <c r="O71" s="152"/>
      <c r="P71" s="152"/>
      <c r="Q71" s="140"/>
      <c r="R71" s="148"/>
      <c r="S71" s="148"/>
      <c r="T71" s="148"/>
      <c r="U71" s="148"/>
      <c r="V71" s="148"/>
      <c r="W71" s="148"/>
      <c r="X71" s="148"/>
      <c r="Y71" s="148"/>
      <c r="Z71" s="148"/>
      <c r="AA71" s="148"/>
      <c r="AB71" s="148"/>
    </row>
    <row r="72" spans="2:28" x14ac:dyDescent="0.25">
      <c r="B72" s="160" t="s">
        <v>422</v>
      </c>
      <c r="C72" s="148"/>
      <c r="D72" s="148"/>
      <c r="E72" s="148"/>
      <c r="F72" s="148"/>
      <c r="G72" s="148"/>
      <c r="H72" s="148"/>
      <c r="I72" s="148"/>
      <c r="J72" s="148"/>
      <c r="K72" s="148"/>
      <c r="L72" s="148"/>
      <c r="M72" s="151"/>
      <c r="N72" s="152"/>
      <c r="O72" s="152"/>
      <c r="P72" s="152"/>
      <c r="Q72" s="140"/>
      <c r="R72" s="148"/>
      <c r="S72" s="148"/>
      <c r="T72" s="148"/>
      <c r="U72" s="148"/>
      <c r="V72" s="148"/>
      <c r="W72" s="148"/>
      <c r="X72" s="148"/>
      <c r="Y72" s="148"/>
      <c r="Z72" s="148"/>
      <c r="AA72" s="148"/>
      <c r="AB72" s="148"/>
    </row>
    <row r="73" spans="2:28" x14ac:dyDescent="0.25">
      <c r="B73" s="161" t="s">
        <v>34</v>
      </c>
      <c r="C73" s="161" t="s">
        <v>404</v>
      </c>
      <c r="D73" s="161" t="s">
        <v>405</v>
      </c>
      <c r="E73" s="161" t="s">
        <v>423</v>
      </c>
      <c r="F73" s="161" t="s">
        <v>7</v>
      </c>
      <c r="G73" s="149"/>
      <c r="H73" s="149"/>
      <c r="I73" s="149"/>
      <c r="J73" s="149"/>
      <c r="K73" s="149"/>
      <c r="L73" s="149"/>
      <c r="M73" s="153"/>
      <c r="N73" s="153"/>
      <c r="O73" s="153"/>
      <c r="P73" s="153"/>
      <c r="Q73" s="140"/>
      <c r="R73" s="140"/>
      <c r="S73" s="140"/>
      <c r="T73" s="140"/>
      <c r="U73" s="140"/>
      <c r="V73" s="140"/>
      <c r="W73" s="140"/>
      <c r="X73" s="140"/>
      <c r="Y73" s="140"/>
      <c r="Z73" s="140"/>
      <c r="AA73" s="140"/>
      <c r="AB73" s="140"/>
    </row>
    <row r="74" spans="2:28" x14ac:dyDescent="0.25">
      <c r="B74" s="167" t="str" cm="1">
        <f t="array" ref="B74:B76">_xlfn.LET(_xlpm.facilities,_xlfn.UNIQUE(_xlfn.VSTACK(tblScope1[Facility],tblScope2[Facility])),_xlpm.scope1amt,SUMIFS(tblScope1[tCO₂e],tblScope1[Facility],_xlpm.facilities),_xlpm.scope2amt,SUMIFS(tblScope2[tCO₂e],tblScope2[Facility],_xlpm.facilities),_xlpm.totamt,_xlpm.scope1amt+_xlpm.scope2amt,_xlfn.SORTBY(_xlpm.facilities,_xlpm.totamt,1))</f>
        <v>Vancouver Office</v>
      </c>
      <c r="C74" s="168" cm="1">
        <f t="array" ref="C74:C76">_xlfn.LET(_xlpm.facilities,_xlfn.UNIQUE(_xlfn.VSTACK(tblScope1[Facility],tblScope2[Facility])),_xlpm.scope1amt,SUMIFS(tblScope1[tCO₂e],tblScope1[Facility],_xlpm.facilities),_xlpm.scope2amt,SUMIFS(tblScope2[tCO₂e],tblScope2[Facility],_xlpm.facilities),_xlpm.totamt,_xlpm.scope1amt+_xlpm.scope2amt,_xlfn.SORTBY(_xlpm.scope1amt,_xlpm.totamt,1))</f>
        <v>132.09201300000004</v>
      </c>
      <c r="D74" s="168" cm="1">
        <f t="array" ref="D74:D76">_xlfn.LET(_xlpm.facilities,_xlfn.UNIQUE(_xlfn.VSTACK(tblScope1[Facility],tblScope2[Facility])),_xlpm.scope1amt,SUMIFS(tblScope1[tCO₂e],tblScope1[Facility],_xlpm.facilities),_xlpm.scope2amt,SUMIFS(tblScope2[tCO₂e],tblScope2[Facility],_xlpm.facilities),_xlpm.totamt,_xlpm.scope1amt+_xlpm.scope2amt,_xlfn.SORTBY(_xlpm.scope2amt,_xlpm.totamt,1))</f>
        <v>7.6319999999999988</v>
      </c>
      <c r="E74" s="169" cm="1">
        <f t="array" ref="E74:E76">_xlfn.LET(_xlpm.facilities,_xlfn.UNIQUE(_xlfn.VSTACK(tblScope1[Facility],tblScope2[Facility])),_xlpm.scope1amt,SUMIFS(tblScope1[tCO₂e],tblScope1[Facility],_xlpm.facilities),_xlpm.scope2amt,SUMIFS(tblScope2[tCO₂e],tblScope2[Facility],_xlpm.facilities),_xlpm.totamt,_xlpm.scope1amt+_xlpm.scope2amt,_xlfn.SORTBY(_xlpm.totamt,_xlpm.totamt,1))</f>
        <v>139.72401300000004</v>
      </c>
      <c r="F74" s="167" t="str" cm="1">
        <f t="array" ref="F74:F76">_xlfn.LET(_xlpm.facilities,_xlfn.UNIQUE(_xlfn.VSTACK(tblScope1[Facility],tblScope2[Facility])),_xlpm.scope1amt,SUMIFS(tblScope1[tCO₂e],tblScope1[Facility],_xlpm.facilities),_xlpm.scope2amt,SUMIFS(tblScope2[tCO₂e],tblScope2[Facility],_xlpm.facilities),_xlpm.totamt,_xlpm.scope1amt+_xlpm.scope2amt,_xlpm.prov,_xlfn.XLOOKUP(_xlpm.facilities,tblScope2[Facility],tblScope2[Province],_xlfn.XLOOKUP(_xlpm.facilities,tblScope1[Facility],tblScope1[Province],"")),_xlfn.SORTBY(_xlpm.prov,_xlpm.totamt,1))</f>
        <v>British Columbia</v>
      </c>
      <c r="G74" s="140"/>
      <c r="H74" s="140"/>
      <c r="I74" s="140"/>
      <c r="J74" s="140"/>
      <c r="K74" s="140"/>
      <c r="L74" s="140"/>
      <c r="M74" s="140"/>
      <c r="N74" s="140"/>
      <c r="O74" s="140"/>
      <c r="P74" s="140"/>
      <c r="Q74" s="140"/>
      <c r="R74" s="140"/>
      <c r="S74" s="140"/>
      <c r="T74" s="140"/>
      <c r="U74" s="140"/>
      <c r="V74" s="140"/>
      <c r="W74" s="140"/>
      <c r="X74" s="140"/>
      <c r="Y74" s="140"/>
      <c r="Z74" s="140"/>
      <c r="AA74" s="140"/>
      <c r="AB74" s="140"/>
    </row>
    <row r="75" spans="2:28" x14ac:dyDescent="0.25">
      <c r="B75" s="149" t="str">
        <v>Toronto Office</v>
      </c>
      <c r="C75" s="149">
        <v>260.71980750000012</v>
      </c>
      <c r="D75" s="149">
        <v>48.203000000000003</v>
      </c>
      <c r="E75" s="149">
        <v>308.92280750000009</v>
      </c>
      <c r="F75" s="149" t="str">
        <v>Ontario</v>
      </c>
      <c r="G75" s="149"/>
      <c r="H75" s="149"/>
      <c r="I75" s="149"/>
      <c r="J75" s="149"/>
      <c r="K75" s="149"/>
      <c r="L75" s="149"/>
      <c r="M75" s="150"/>
      <c r="N75" s="150"/>
      <c r="O75" s="150"/>
      <c r="P75" s="150"/>
      <c r="Q75" s="140"/>
      <c r="R75" s="150"/>
      <c r="S75" s="150"/>
      <c r="T75" s="150"/>
      <c r="U75" s="150"/>
      <c r="V75" s="150"/>
      <c r="W75" s="150"/>
      <c r="X75" s="150"/>
      <c r="Y75" s="150"/>
      <c r="Z75" s="140"/>
      <c r="AA75" s="140"/>
      <c r="AB75" s="140"/>
    </row>
    <row r="76" spans="2:28" x14ac:dyDescent="0.25">
      <c r="B76" s="148" t="str">
        <v>Calgary Office</v>
      </c>
      <c r="C76" s="148">
        <v>286.74376221000006</v>
      </c>
      <c r="D76" s="148">
        <v>271.12200000000001</v>
      </c>
      <c r="E76" s="148">
        <v>557.86576221000007</v>
      </c>
      <c r="F76" s="148" t="str">
        <v>Alberta</v>
      </c>
      <c r="G76" s="148"/>
      <c r="H76" s="148"/>
      <c r="I76" s="148"/>
      <c r="J76" s="148"/>
      <c r="K76" s="148"/>
      <c r="L76" s="148"/>
      <c r="M76" s="151"/>
      <c r="N76" s="152"/>
      <c r="O76" s="152"/>
      <c r="P76" s="152"/>
      <c r="Q76" s="141"/>
      <c r="R76" s="151"/>
      <c r="S76" s="152"/>
      <c r="T76" s="152"/>
      <c r="U76" s="152"/>
      <c r="V76" s="154"/>
      <c r="W76" s="154"/>
      <c r="X76" s="154"/>
      <c r="Y76" s="154"/>
      <c r="Z76" s="140"/>
      <c r="AA76" s="140"/>
      <c r="AB76" s="140"/>
    </row>
    <row r="77" spans="2:28" x14ac:dyDescent="0.25">
      <c r="B77" s="148"/>
      <c r="C77" s="148"/>
      <c r="D77" s="148"/>
      <c r="E77" s="148"/>
      <c r="F77" s="148"/>
      <c r="G77" s="148"/>
      <c r="H77" s="148"/>
      <c r="I77" s="148"/>
      <c r="J77" s="148"/>
      <c r="K77" s="148"/>
      <c r="L77" s="148"/>
      <c r="M77" s="151"/>
      <c r="N77" s="152"/>
      <c r="O77" s="152"/>
      <c r="P77" s="152"/>
      <c r="Q77" s="141"/>
      <c r="R77" s="151"/>
      <c r="S77" s="152"/>
      <c r="T77" s="152"/>
      <c r="U77" s="152"/>
      <c r="V77" s="154"/>
      <c r="W77" s="154"/>
      <c r="X77" s="154"/>
      <c r="Y77" s="154"/>
      <c r="Z77" s="140"/>
      <c r="AA77" s="140"/>
      <c r="AB77" s="140"/>
    </row>
    <row r="78" spans="2:28" x14ac:dyDescent="0.25">
      <c r="B78" s="148"/>
      <c r="C78" s="148"/>
      <c r="D78" s="148"/>
      <c r="E78" s="148"/>
      <c r="F78" s="148"/>
      <c r="G78" s="148"/>
      <c r="H78" s="148"/>
      <c r="I78" s="148"/>
      <c r="J78" s="148"/>
      <c r="K78" s="148"/>
      <c r="L78" s="148"/>
      <c r="M78" s="151"/>
      <c r="N78" s="152"/>
      <c r="O78" s="152"/>
      <c r="P78" s="152"/>
      <c r="Q78" s="141"/>
      <c r="R78" s="151"/>
      <c r="S78" s="152"/>
      <c r="T78" s="152"/>
      <c r="U78" s="152"/>
      <c r="V78" s="154"/>
      <c r="W78" s="154"/>
      <c r="X78" s="154"/>
      <c r="Y78" s="154"/>
      <c r="Z78" s="140"/>
      <c r="AA78" s="140"/>
      <c r="AB78" s="140"/>
    </row>
    <row r="79" spans="2:28" x14ac:dyDescent="0.25">
      <c r="B79" s="149"/>
      <c r="C79" s="149"/>
      <c r="D79" s="149"/>
      <c r="E79" s="149"/>
      <c r="F79" s="149"/>
      <c r="G79" s="149"/>
      <c r="H79" s="149"/>
      <c r="I79" s="149"/>
      <c r="J79" s="149"/>
      <c r="K79" s="149"/>
      <c r="L79" s="149"/>
      <c r="M79" s="154"/>
      <c r="N79" s="154"/>
      <c r="O79" s="154"/>
      <c r="P79" s="154"/>
      <c r="Q79" s="141"/>
      <c r="R79" s="154"/>
      <c r="S79" s="154"/>
      <c r="T79" s="154"/>
      <c r="U79" s="154"/>
      <c r="V79" s="154"/>
      <c r="W79" s="154"/>
      <c r="X79" s="154"/>
      <c r="Y79" s="154"/>
      <c r="Z79" s="140"/>
      <c r="AA79" s="140"/>
      <c r="AB79" s="140"/>
    </row>
    <row r="80" spans="2:28" x14ac:dyDescent="0.25">
      <c r="B80" s="140"/>
      <c r="C80" s="140"/>
      <c r="D80" s="140"/>
      <c r="E80" s="140"/>
      <c r="F80" s="140"/>
      <c r="G80" s="140"/>
      <c r="H80" s="140"/>
      <c r="I80" s="140"/>
      <c r="J80" s="140"/>
      <c r="K80" s="140"/>
      <c r="L80" s="140"/>
      <c r="M80" s="140"/>
      <c r="N80" s="140"/>
      <c r="O80" s="140"/>
      <c r="P80" s="140"/>
      <c r="Q80" s="140"/>
      <c r="R80" s="140"/>
      <c r="S80" s="140"/>
      <c r="T80" s="140"/>
      <c r="U80" s="140"/>
      <c r="V80" s="140"/>
      <c r="W80" s="140"/>
      <c r="X80" s="140"/>
      <c r="Y80" s="140"/>
      <c r="Z80" s="140"/>
      <c r="AA80" s="140"/>
      <c r="AB80" s="140"/>
    </row>
    <row r="81" spans="2:29" x14ac:dyDescent="0.25">
      <c r="B81" s="160" t="s">
        <v>16</v>
      </c>
      <c r="C81" s="140"/>
      <c r="D81" s="140"/>
      <c r="E81" s="140"/>
      <c r="F81" s="140"/>
      <c r="G81" s="140"/>
      <c r="H81" s="140"/>
      <c r="I81" s="140"/>
      <c r="J81" s="140"/>
      <c r="K81" s="140"/>
      <c r="L81" s="140"/>
      <c r="M81" s="140"/>
      <c r="N81" s="140"/>
      <c r="O81" s="140"/>
      <c r="P81" s="147"/>
      <c r="Q81" s="140"/>
      <c r="R81" s="192" t="s">
        <v>430</v>
      </c>
      <c r="S81" s="140"/>
      <c r="T81" s="140"/>
      <c r="U81" s="140"/>
      <c r="V81" s="140"/>
      <c r="W81" s="140"/>
      <c r="X81" s="140"/>
      <c r="Y81" s="140"/>
      <c r="Z81" s="140"/>
      <c r="AA81" s="140"/>
      <c r="AB81" s="140"/>
    </row>
    <row r="82" spans="2:29" x14ac:dyDescent="0.25">
      <c r="B82" s="162" t="s">
        <v>17</v>
      </c>
      <c r="C82" s="148"/>
      <c r="D82" s="148"/>
      <c r="E82" s="148"/>
      <c r="F82" s="148"/>
      <c r="G82" s="148"/>
      <c r="H82" s="148"/>
      <c r="I82" s="148"/>
      <c r="J82" s="148"/>
      <c r="K82" s="148"/>
      <c r="L82" s="148"/>
      <c r="M82" s="170">
        <f>SUM(tblScope1[tCO₂e])</f>
        <v>679.55558271000018</v>
      </c>
      <c r="N82" s="154"/>
      <c r="O82" s="154"/>
      <c r="P82" s="155" t="s">
        <v>428</v>
      </c>
      <c r="Q82" s="154"/>
      <c r="R82" s="155" t="s">
        <v>431</v>
      </c>
      <c r="S82" s="176" t="str" cm="1">
        <f t="array" ref="S82">IFERROR(TEXT(INDEX($C$99:$N$99,MATCH(MAX($C$100:$N$100+$C$101:$N$101),$C$100:$N$100+$C$101:$N$101,0)),"mmmm"),"—")</f>
        <v>January</v>
      </c>
      <c r="T82" s="167" t="s">
        <v>436</v>
      </c>
      <c r="U82" s="140"/>
      <c r="V82" s="140"/>
      <c r="W82" s="140"/>
      <c r="X82" s="140"/>
      <c r="Y82" s="140"/>
      <c r="Z82" s="140"/>
      <c r="AA82" s="140"/>
      <c r="AB82" s="140"/>
    </row>
    <row r="83" spans="2:29" x14ac:dyDescent="0.25">
      <c r="B83" s="162" t="s">
        <v>18</v>
      </c>
      <c r="C83" s="148"/>
      <c r="D83" s="148"/>
      <c r="E83" s="148"/>
      <c r="F83" s="148"/>
      <c r="G83" s="148"/>
      <c r="H83" s="148"/>
      <c r="I83" s="148"/>
      <c r="J83" s="148"/>
      <c r="K83" s="148"/>
      <c r="L83" s="148"/>
      <c r="M83" s="170">
        <f>SUM(tblScope2[tCO₂e])</f>
        <v>326.95700000000011</v>
      </c>
      <c r="N83" s="154"/>
      <c r="O83" s="154"/>
      <c r="P83" s="155" t="str">
        <f>"tCO₂e   |   "&amp;TEXT(M85,"0.0%")&amp;" of total"</f>
        <v>tCO₂e   |   67.5% of total</v>
      </c>
      <c r="Q83" s="154"/>
      <c r="R83" s="155" t="s">
        <v>432</v>
      </c>
      <c r="S83" s="193" cm="1">
        <f t="array" ref="S83">MAX($C$100:$N$100+$C$101:$N$101)</f>
        <v>117.79445608</v>
      </c>
      <c r="T83" s="176" t="str">
        <f>IF(ABS(N100-M100)&gt;=ABS(N101-M101),"Scope 1","Scope 2")</f>
        <v>Scope 1</v>
      </c>
      <c r="U83" s="140"/>
      <c r="V83" s="140"/>
      <c r="W83" s="140"/>
      <c r="X83" s="140"/>
      <c r="Y83" s="140"/>
      <c r="Z83" s="142"/>
      <c r="AA83" s="141"/>
      <c r="AB83" s="141"/>
      <c r="AC83" s="54"/>
    </row>
    <row r="84" spans="2:29" x14ac:dyDescent="0.25">
      <c r="B84" s="162" t="s">
        <v>19</v>
      </c>
      <c r="C84" s="148"/>
      <c r="D84" s="148"/>
      <c r="E84" s="148"/>
      <c r="F84" s="148"/>
      <c r="G84" s="148"/>
      <c r="H84" s="148"/>
      <c r="I84" s="148"/>
      <c r="J84" s="148"/>
      <c r="K84" s="148"/>
      <c r="L84" s="148"/>
      <c r="M84" s="170">
        <f>M82+M83</f>
        <v>1006.5125827100003</v>
      </c>
      <c r="N84" s="154"/>
      <c r="O84" s="154"/>
      <c r="P84" s="155" t="str">
        <f>"tCO₂e   |   "&amp;TEXT(M86,"0.0%")&amp;" of total"</f>
        <v>tCO₂e   |   32.5% of total</v>
      </c>
      <c r="Q84" s="154"/>
      <c r="R84" s="155" t="s">
        <v>433</v>
      </c>
      <c r="S84" s="193" cm="1">
        <f t="array" ref="S84">AVERAGE($C$100:$N$100+$C$101:$N$101)</f>
        <v>83.876048559166676</v>
      </c>
      <c r="T84" s="140"/>
      <c r="U84" s="140"/>
      <c r="V84" s="140"/>
      <c r="W84" s="140"/>
      <c r="X84" s="140"/>
      <c r="Y84" s="140"/>
      <c r="Z84" s="142"/>
      <c r="AA84" s="141"/>
      <c r="AB84" s="141"/>
      <c r="AC84" s="54"/>
    </row>
    <row r="85" spans="2:29" x14ac:dyDescent="0.25">
      <c r="B85" s="162" t="s">
        <v>20</v>
      </c>
      <c r="C85" s="148"/>
      <c r="D85" s="148"/>
      <c r="E85" s="148"/>
      <c r="F85" s="148"/>
      <c r="G85" s="148"/>
      <c r="H85" s="148"/>
      <c r="I85" s="148"/>
      <c r="J85" s="148"/>
      <c r="K85" s="148"/>
      <c r="L85" s="148"/>
      <c r="M85" s="171">
        <f>IFERROR(M82/M84,0)</f>
        <v>0.67515855676669267</v>
      </c>
      <c r="N85" s="156"/>
      <c r="O85" s="156"/>
      <c r="P85" s="157" t="str">
        <f>TEXT(M90,"#,##0")&amp;" tCO₂e   |   "&amp;TEXT(M91,"0%")&amp;" of total"</f>
        <v>463 tCO₂e   |   46% of total</v>
      </c>
      <c r="Q85" s="156"/>
      <c r="R85" s="157" t="s">
        <v>434</v>
      </c>
      <c r="S85" s="194">
        <f>IFERROR(S83/S84-1,0)</f>
        <v>0.40438728461209128</v>
      </c>
      <c r="T85" s="140"/>
      <c r="U85" s="140"/>
      <c r="V85" s="140"/>
      <c r="W85" s="140"/>
      <c r="X85" s="140"/>
      <c r="Y85" s="140"/>
      <c r="Z85" s="142"/>
      <c r="AA85" s="141"/>
      <c r="AB85" s="141"/>
      <c r="AC85" s="54"/>
    </row>
    <row r="86" spans="2:29" x14ac:dyDescent="0.25">
      <c r="B86" s="162" t="s">
        <v>21</v>
      </c>
      <c r="C86" s="148"/>
      <c r="D86" s="148"/>
      <c r="E86" s="148"/>
      <c r="F86" s="148"/>
      <c r="G86" s="148"/>
      <c r="H86" s="148"/>
      <c r="I86" s="148"/>
      <c r="J86" s="148"/>
      <c r="K86" s="148"/>
      <c r="L86" s="148"/>
      <c r="M86" s="171">
        <f>IFERROR(M83/M84,0)</f>
        <v>0.32484144323330733</v>
      </c>
      <c r="N86" s="156"/>
      <c r="O86" s="156"/>
      <c r="P86" s="157" t="str">
        <f>TEXT($S$83,"#,##0.0")&amp;" tCO₂e   |   "&amp;TEXT($S$85,"0%")&amp;" above avg"</f>
        <v>117.8 tCO₂e   |   40% above avg</v>
      </c>
      <c r="Q86" s="156"/>
      <c r="R86" s="156"/>
      <c r="S86" s="140"/>
      <c r="T86" s="140"/>
      <c r="U86" s="140"/>
      <c r="V86" s="140"/>
      <c r="W86" s="140"/>
      <c r="X86" s="140"/>
      <c r="Y86" s="140"/>
      <c r="Z86" s="142"/>
      <c r="AA86" s="141"/>
      <c r="AB86" s="141"/>
      <c r="AC86" s="54"/>
    </row>
    <row r="87" spans="2:29" x14ac:dyDescent="0.25">
      <c r="B87" s="162" t="s">
        <v>22</v>
      </c>
      <c r="C87" s="148"/>
      <c r="D87" s="148"/>
      <c r="E87" s="148"/>
      <c r="F87" s="148"/>
      <c r="G87" s="148"/>
      <c r="H87" s="148"/>
      <c r="I87" s="148"/>
      <c r="J87" s="148"/>
      <c r="K87" s="148"/>
      <c r="L87" s="148"/>
      <c r="M87" s="172" t="str" cm="1">
        <f t="array" ref="M87">INDEX(_xlfn.ANCHORARRAY($B$74),ROWS(_xlfn.ANCHORARRAY($B$74)))</f>
        <v>Calgary Office</v>
      </c>
      <c r="N87" s="149"/>
      <c r="O87" s="149"/>
      <c r="P87" s="149"/>
      <c r="Q87" s="149"/>
      <c r="R87" s="149"/>
      <c r="S87" s="140"/>
      <c r="T87" s="140"/>
      <c r="U87" s="140"/>
      <c r="V87" s="140"/>
      <c r="W87" s="140"/>
      <c r="X87" s="140"/>
      <c r="Y87" s="140"/>
      <c r="Z87" s="142"/>
      <c r="AA87" s="141"/>
      <c r="AB87" s="141"/>
      <c r="AC87" s="54"/>
    </row>
    <row r="88" spans="2:29" x14ac:dyDescent="0.25">
      <c r="B88" s="162" t="s">
        <v>23</v>
      </c>
      <c r="C88" s="148"/>
      <c r="D88" s="148"/>
      <c r="E88" s="148"/>
      <c r="F88" s="148"/>
      <c r="G88" s="148"/>
      <c r="H88" s="148"/>
      <c r="I88" s="148"/>
      <c r="J88" s="148"/>
      <c r="K88" s="148"/>
      <c r="L88" s="148"/>
      <c r="M88" s="173" cm="1">
        <f t="array" ref="M88">INDEX(_xlfn.ANCHORARRAY($E$74),ROWS(_xlfn.ANCHORARRAY($E$74)))</f>
        <v>557.86576221000007</v>
      </c>
      <c r="N88" s="153"/>
      <c r="O88" s="153"/>
      <c r="P88" s="153"/>
      <c r="Q88" s="153"/>
      <c r="R88" s="153"/>
      <c r="S88" s="140"/>
      <c r="T88" s="140"/>
      <c r="U88" s="140"/>
      <c r="V88" s="140"/>
      <c r="W88" s="140"/>
      <c r="X88" s="140"/>
      <c r="Y88" s="140"/>
      <c r="Z88" s="142"/>
      <c r="AA88" s="141"/>
      <c r="AB88" s="141"/>
      <c r="AC88" s="54"/>
    </row>
    <row r="89" spans="2:29" x14ac:dyDescent="0.25">
      <c r="B89" s="162" t="s">
        <v>24</v>
      </c>
      <c r="C89" s="148"/>
      <c r="D89" s="148"/>
      <c r="E89" s="148"/>
      <c r="F89" s="148"/>
      <c r="G89" s="148"/>
      <c r="H89" s="148"/>
      <c r="I89" s="148"/>
      <c r="J89" s="148"/>
      <c r="K89" s="148"/>
      <c r="L89" s="148"/>
      <c r="M89" s="172" t="str" cm="1">
        <f t="array" ref="M89">INDEX(_xlfn.ANCHORARRAY($B$65),ROWS(_xlfn.ANCHORARRAY($B$65)))</f>
        <v>Natural gas (stationary)</v>
      </c>
      <c r="N89" s="149"/>
      <c r="O89" s="149"/>
      <c r="P89" s="149"/>
      <c r="Q89" s="149"/>
      <c r="R89" s="149"/>
      <c r="S89" s="140"/>
      <c r="T89" s="140"/>
      <c r="U89" s="140"/>
      <c r="V89" s="140"/>
      <c r="W89" s="140"/>
      <c r="X89" s="140"/>
      <c r="Y89" s="140"/>
      <c r="Z89" s="142"/>
      <c r="AA89" s="141"/>
      <c r="AB89" s="141"/>
      <c r="AC89" s="54"/>
    </row>
    <row r="90" spans="2:29" x14ac:dyDescent="0.25">
      <c r="B90" s="162" t="s">
        <v>25</v>
      </c>
      <c r="C90" s="148"/>
      <c r="D90" s="148"/>
      <c r="E90" s="148"/>
      <c r="F90" s="148"/>
      <c r="G90" s="148"/>
      <c r="H90" s="148"/>
      <c r="I90" s="148"/>
      <c r="J90" s="148"/>
      <c r="K90" s="148"/>
      <c r="L90" s="148"/>
      <c r="M90" s="173" cm="1">
        <f t="array" ref="M90">INDEX(_xlfn.ANCHORARRAY($C$65),ROWS(_xlfn.ANCHORARRAY($C$65)))</f>
        <v>463.20542168999992</v>
      </c>
      <c r="N90" s="153"/>
      <c r="O90" s="153"/>
      <c r="P90" s="153"/>
      <c r="Q90" s="153"/>
      <c r="R90" s="153"/>
      <c r="S90" s="140"/>
      <c r="T90" s="140"/>
      <c r="U90" s="140"/>
      <c r="V90" s="140"/>
      <c r="W90" s="140"/>
      <c r="X90" s="140"/>
      <c r="Y90" s="140"/>
      <c r="Z90" s="142"/>
      <c r="AA90" s="141"/>
      <c r="AB90" s="141"/>
      <c r="AC90" s="54"/>
    </row>
    <row r="91" spans="2:29" x14ac:dyDescent="0.25">
      <c r="B91" s="162" t="s">
        <v>424</v>
      </c>
      <c r="C91" s="148"/>
      <c r="D91" s="148"/>
      <c r="E91" s="148"/>
      <c r="F91" s="148"/>
      <c r="G91" s="148"/>
      <c r="H91" s="148"/>
      <c r="I91" s="148"/>
      <c r="J91" s="148"/>
      <c r="K91" s="148"/>
      <c r="L91" s="148"/>
      <c r="M91" s="171">
        <f>IFERROR(M90/M84,0)</f>
        <v>0.4602082772207729</v>
      </c>
      <c r="N91" s="149"/>
      <c r="O91" s="149"/>
      <c r="P91" s="149"/>
      <c r="Q91" s="149"/>
      <c r="R91" s="149"/>
      <c r="S91" s="140"/>
      <c r="T91" s="140"/>
      <c r="U91" s="140"/>
      <c r="V91" s="140"/>
      <c r="W91" s="140"/>
      <c r="X91" s="140"/>
      <c r="Y91" s="140"/>
      <c r="Z91" s="142"/>
      <c r="AA91" s="141"/>
      <c r="AB91" s="141"/>
      <c r="AC91" s="54"/>
    </row>
    <row r="92" spans="2:29" x14ac:dyDescent="0.25">
      <c r="B92" s="162" t="s">
        <v>26</v>
      </c>
      <c r="C92" s="148"/>
      <c r="D92" s="148"/>
      <c r="E92" s="148"/>
      <c r="F92" s="148"/>
      <c r="G92" s="148"/>
      <c r="H92" s="148"/>
      <c r="I92" s="148"/>
      <c r="J92" s="148"/>
      <c r="K92" s="148"/>
      <c r="L92" s="148"/>
      <c r="M92" s="173" t="str">
        <f>INDEX(_xlfn.ANCHORARRAY($B$74),MATCH(MAX(_xlfn.ANCHORARRAY($D$74)),_xlfn.ANCHORARRAY($D$74),0))</f>
        <v>Calgary Office</v>
      </c>
      <c r="N92" s="153"/>
      <c r="O92" s="153"/>
      <c r="P92" s="153"/>
      <c r="Q92" s="153"/>
      <c r="R92" s="153"/>
      <c r="S92" s="140"/>
      <c r="T92" s="140"/>
      <c r="U92" s="140"/>
      <c r="V92" s="140"/>
      <c r="W92" s="140"/>
      <c r="X92" s="140"/>
      <c r="Y92" s="140"/>
      <c r="Z92" s="142"/>
      <c r="AA92" s="141"/>
      <c r="AB92" s="141"/>
      <c r="AC92" s="54"/>
    </row>
    <row r="93" spans="2:29" x14ac:dyDescent="0.25">
      <c r="B93" s="162" t="s">
        <v>27</v>
      </c>
      <c r="C93" s="148"/>
      <c r="D93" s="148"/>
      <c r="E93" s="148"/>
      <c r="F93" s="148"/>
      <c r="G93" s="148"/>
      <c r="H93" s="148"/>
      <c r="I93" s="148"/>
      <c r="J93" s="148"/>
      <c r="K93" s="148"/>
      <c r="L93" s="148"/>
      <c r="M93" s="173">
        <f>MAX(_xlfn.ANCHORARRAY($D$74))</f>
        <v>271.12200000000001</v>
      </c>
      <c r="N93" s="158"/>
      <c r="O93" s="158"/>
      <c r="P93" s="158"/>
      <c r="Q93" s="158"/>
      <c r="R93" s="158"/>
      <c r="S93" s="140"/>
      <c r="T93" s="140"/>
      <c r="U93" s="140"/>
      <c r="V93" s="140"/>
      <c r="W93" s="140"/>
      <c r="X93" s="140"/>
      <c r="Y93" s="140"/>
      <c r="Z93" s="142"/>
      <c r="AA93" s="141"/>
      <c r="AB93" s="141"/>
      <c r="AC93" s="54"/>
    </row>
    <row r="94" spans="2:29" x14ac:dyDescent="0.25">
      <c r="B94" s="162" t="s">
        <v>425</v>
      </c>
      <c r="C94" s="148"/>
      <c r="D94" s="148"/>
      <c r="E94" s="148"/>
      <c r="F94" s="148"/>
      <c r="G94" s="148"/>
      <c r="H94" s="148"/>
      <c r="I94" s="148"/>
      <c r="J94" s="148"/>
      <c r="K94" s="148"/>
      <c r="L94" s="148"/>
      <c r="M94" s="171">
        <f>IFERROR(M93/M83,0)</f>
        <v>0.82922830830965522</v>
      </c>
      <c r="N94" s="158"/>
      <c r="O94" s="158"/>
      <c r="P94" s="158"/>
      <c r="Q94" s="158"/>
      <c r="R94" s="158"/>
      <c r="S94" s="140"/>
      <c r="T94" s="140"/>
      <c r="U94" s="140"/>
      <c r="V94" s="140"/>
      <c r="W94" s="140"/>
      <c r="X94" s="140"/>
      <c r="Y94" s="140"/>
      <c r="Z94" s="142"/>
      <c r="AA94" s="141"/>
      <c r="AB94" s="141"/>
      <c r="AC94" s="54"/>
    </row>
    <row r="95" spans="2:29" x14ac:dyDescent="0.25">
      <c r="B95" s="174" t="s">
        <v>28</v>
      </c>
      <c r="C95" s="159"/>
      <c r="D95" s="159"/>
      <c r="E95" s="159"/>
      <c r="F95" s="159"/>
      <c r="G95" s="159"/>
      <c r="H95" s="159"/>
      <c r="I95" s="159"/>
      <c r="J95" s="159"/>
      <c r="K95" s="159"/>
      <c r="L95" s="159"/>
      <c r="M95" s="175" cm="1">
        <f t="array" ref="M95">_xlfn.LET(_xlpm.hotidx,MATCH(MAX(_xlfn.ANCHORARRAY($D$74)),_xlfn.ANCHORARRAY($D$74),0),_xlpm.hotprov,INDEX(_xlfn.ANCHORARRAY($F$74),_xlpm.hotidx),_xlfn.XLOOKUP(_xlpm.hotprov,_xlfn._xlws.FILTER(tblEF[Province / Territory],tblEF[Scope]="Scope 2"),_xlfn._xlws.FILTER(tblEF[Published CO₂e EF],tblEF[Scope]="Scope 2")))</f>
        <v>438</v>
      </c>
      <c r="N95" s="159"/>
      <c r="O95" s="159"/>
      <c r="P95" s="159"/>
      <c r="Q95" s="159"/>
      <c r="R95" s="159"/>
      <c r="S95" s="159"/>
      <c r="T95" s="159"/>
      <c r="U95" s="159"/>
      <c r="V95" s="159"/>
      <c r="W95" s="159"/>
      <c r="X95" s="159"/>
      <c r="Y95" s="159"/>
      <c r="Z95" s="159"/>
      <c r="AA95" s="159"/>
      <c r="AB95" s="159"/>
    </row>
    <row r="96" spans="2:29" x14ac:dyDescent="0.25">
      <c r="B96" s="174" t="s">
        <v>29</v>
      </c>
      <c r="C96" s="159"/>
      <c r="D96" s="159"/>
      <c r="E96" s="159"/>
      <c r="F96" s="159"/>
      <c r="G96" s="159"/>
      <c r="H96" s="159"/>
      <c r="I96" s="159"/>
      <c r="J96" s="159"/>
      <c r="K96" s="159"/>
      <c r="L96" s="159"/>
      <c r="M96" s="175" cm="1">
        <f t="array" ref="M96">MIN(_xlfn._xlws.FILTER(tblEF[Published CO₂e EF],tblEF[Scope]="Scope 2"))</f>
        <v>18</v>
      </c>
      <c r="N96" s="159"/>
      <c r="O96" s="159"/>
      <c r="P96" s="159"/>
      <c r="Q96" s="159"/>
      <c r="R96" s="159"/>
      <c r="S96" s="159"/>
      <c r="T96" s="159"/>
      <c r="U96" s="159"/>
      <c r="V96" s="159"/>
      <c r="W96" s="159"/>
      <c r="X96" s="159"/>
      <c r="Y96" s="159"/>
      <c r="Z96" s="159"/>
      <c r="AA96" s="159"/>
      <c r="AB96" s="159"/>
    </row>
    <row r="97" spans="2:28" x14ac:dyDescent="0.25">
      <c r="B97" s="167" t="s">
        <v>426</v>
      </c>
      <c r="C97" s="140"/>
      <c r="D97" s="140"/>
      <c r="E97" s="140"/>
      <c r="F97" s="140"/>
      <c r="G97" s="140"/>
      <c r="H97" s="140"/>
      <c r="I97" s="140"/>
      <c r="J97" s="140"/>
      <c r="K97" s="140"/>
      <c r="L97" s="140"/>
      <c r="M97" s="177">
        <f>YEAR(MAX(MAX(tblScope1[Date]),MAX(tblScope2[Date])))</f>
        <v>2026</v>
      </c>
      <c r="N97" s="140"/>
      <c r="O97" s="140"/>
      <c r="P97" s="140"/>
      <c r="Q97" s="140"/>
      <c r="R97" s="140"/>
      <c r="S97" s="140"/>
      <c r="T97" s="140"/>
      <c r="U97" s="140"/>
      <c r="V97" s="140"/>
      <c r="W97" s="140"/>
      <c r="X97" s="140"/>
      <c r="Y97" s="140"/>
      <c r="Z97" s="140"/>
      <c r="AA97" s="140"/>
      <c r="AB97" s="140"/>
    </row>
    <row r="98" spans="2:28" x14ac:dyDescent="0.25">
      <c r="B98" s="143" t="s">
        <v>403</v>
      </c>
      <c r="C98" s="140"/>
      <c r="D98" s="140"/>
      <c r="E98" s="140"/>
      <c r="F98" s="140"/>
      <c r="G98" s="140"/>
      <c r="H98" s="140"/>
      <c r="I98" s="140"/>
      <c r="J98" s="140"/>
      <c r="K98" s="140"/>
      <c r="L98" s="140"/>
      <c r="M98" s="140"/>
      <c r="N98" s="140"/>
      <c r="O98" s="140"/>
      <c r="P98" s="140"/>
      <c r="Q98" s="140"/>
      <c r="R98" s="140"/>
      <c r="S98" s="140"/>
      <c r="T98" s="140"/>
      <c r="U98" s="140"/>
      <c r="V98" s="140"/>
      <c r="W98" s="140"/>
      <c r="X98" s="140"/>
      <c r="Y98" s="140"/>
      <c r="Z98" s="140"/>
      <c r="AA98" s="140"/>
      <c r="AB98" s="140"/>
    </row>
    <row r="99" spans="2:28" x14ac:dyDescent="0.25">
      <c r="B99" s="140"/>
      <c r="C99" s="144">
        <f>DATE($M$97,1,1)</f>
        <v>46023</v>
      </c>
      <c r="D99" s="144">
        <f>EDATE(C99,1)</f>
        <v>46054</v>
      </c>
      <c r="E99" s="144">
        <f t="shared" ref="E99:N99" si="0">EDATE(D99,1)</f>
        <v>46082</v>
      </c>
      <c r="F99" s="144">
        <f t="shared" si="0"/>
        <v>46113</v>
      </c>
      <c r="G99" s="144">
        <f t="shared" si="0"/>
        <v>46143</v>
      </c>
      <c r="H99" s="144">
        <f t="shared" si="0"/>
        <v>46174</v>
      </c>
      <c r="I99" s="144">
        <f t="shared" si="0"/>
        <v>46204</v>
      </c>
      <c r="J99" s="144">
        <f t="shared" si="0"/>
        <v>46235</v>
      </c>
      <c r="K99" s="144">
        <f t="shared" si="0"/>
        <v>46266</v>
      </c>
      <c r="L99" s="144">
        <f t="shared" si="0"/>
        <v>46296</v>
      </c>
      <c r="M99" s="144">
        <f t="shared" si="0"/>
        <v>46327</v>
      </c>
      <c r="N99" s="144">
        <f t="shared" si="0"/>
        <v>46357</v>
      </c>
      <c r="O99" s="140"/>
      <c r="P99" s="140"/>
      <c r="Q99" s="140"/>
      <c r="R99" s="140"/>
      <c r="S99" s="140"/>
      <c r="T99" s="140"/>
      <c r="U99" s="140"/>
      <c r="V99" s="140"/>
      <c r="W99" s="140"/>
      <c r="X99" s="140"/>
      <c r="Y99" s="140"/>
      <c r="Z99" s="140"/>
      <c r="AA99" s="140"/>
      <c r="AB99" s="140"/>
    </row>
    <row r="100" spans="2:28" x14ac:dyDescent="0.25">
      <c r="B100" s="145" t="s">
        <v>404</v>
      </c>
      <c r="C100" s="146" cm="1">
        <f t="array" ref="C100">SUMPRODUCT((MONTH(tblScope1[Date])=MONTH(C$99))*(tblScope1[tCO₂e]))</f>
        <v>93.968456079999996</v>
      </c>
      <c r="D100" s="146" cm="1">
        <f t="array" ref="D100">SUMPRODUCT((MONTH(tblScope1[Date])=MONTH(D$99))*(tblScope1[tCO₂e]))</f>
        <v>85.58943299000002</v>
      </c>
      <c r="E100" s="146" cm="1">
        <f t="array" ref="E100">SUMPRODUCT((MONTH(tblScope1[Date])=MONTH(E$99))*(tblScope1[tCO₂e]))</f>
        <v>67.946447770000006</v>
      </c>
      <c r="F100" s="146" cm="1">
        <f t="array" ref="F100">SUMPRODUCT((MONTH(tblScope1[Date])=MONTH(F$99))*(tblScope1[tCO₂e]))</f>
        <v>58.38295059</v>
      </c>
      <c r="G100" s="146" cm="1">
        <f t="array" ref="G100">SUMPRODUCT((MONTH(tblScope1[Date])=MONTH(G$99))*(tblScope1[tCO₂e]))</f>
        <v>48.000485009999998</v>
      </c>
      <c r="H100" s="146" cm="1">
        <f t="array" ref="H100">SUMPRODUCT((MONTH(tblScope1[Date])=MONTH(H$99))*(tblScope1[tCO₂e]))</f>
        <v>37.396899390000002</v>
      </c>
      <c r="I100" s="146" cm="1">
        <f t="array" ref="I100">SUMPRODUCT((MONTH(tblScope1[Date])=MONTH(I$99))*(tblScope1[tCO₂e]))</f>
        <v>28.284062999999996</v>
      </c>
      <c r="J100" s="146" cm="1">
        <f t="array" ref="J100">SUMPRODUCT((MONTH(tblScope1[Date])=MONTH(J$99))*(tblScope1[tCO₂e]))</f>
        <v>29.406612280000001</v>
      </c>
      <c r="K100" s="146" cm="1">
        <f t="array" ref="K100">SUMPRODUCT((MONTH(tblScope1[Date])=MONTH(K$99))*(tblScope1[tCO₂e]))</f>
        <v>30.670942420000003</v>
      </c>
      <c r="L100" s="146" cm="1">
        <f t="array" ref="L100">SUMPRODUCT((MONTH(tblScope1[Date])=MONTH(L$99))*(tblScope1[tCO₂e]))</f>
        <v>50.057900580000002</v>
      </c>
      <c r="M100" s="146" cm="1">
        <f t="array" ref="M100">SUMPRODUCT((MONTH(tblScope1[Date])=MONTH(M$99))*(tblScope1[tCO₂e]))</f>
        <v>67.472321390000005</v>
      </c>
      <c r="N100" s="146" cm="1">
        <f t="array" ref="N100">SUMPRODUCT((MONTH(tblScope1[Date])=MONTH(N$99))*(tblScope1[tCO₂e]))</f>
        <v>82.379071210000006</v>
      </c>
      <c r="O100" s="140"/>
      <c r="P100" s="140"/>
      <c r="Q100" s="140"/>
      <c r="R100" s="140"/>
      <c r="S100" s="140"/>
      <c r="T100" s="140"/>
      <c r="U100" s="140"/>
      <c r="V100" s="140"/>
      <c r="W100" s="140"/>
      <c r="X100" s="140"/>
      <c r="Y100" s="140"/>
      <c r="Z100" s="140"/>
      <c r="AA100" s="140"/>
      <c r="AB100" s="140"/>
    </row>
    <row r="101" spans="2:28" x14ac:dyDescent="0.25">
      <c r="B101" s="145" t="s">
        <v>405</v>
      </c>
      <c r="C101" s="146" cm="1">
        <f t="array" ref="C101">SUMPRODUCT((MONTH(tblScope2[Date])=MONTH(C$99))*(tblScope2[tCO₂e]))</f>
        <v>23.826000000000001</v>
      </c>
      <c r="D101" s="146" cm="1">
        <f t="array" ref="D101">SUMPRODUCT((MONTH(tblScope2[Date])=MONTH(D$99))*(tblScope2[tCO₂e]))</f>
        <v>24.760999999999999</v>
      </c>
      <c r="E101" s="146" cm="1">
        <f t="array" ref="E101">SUMPRODUCT((MONTH(tblScope2[Date])=MONTH(E$99))*(tblScope2[tCO₂e]))</f>
        <v>26.346999999999998</v>
      </c>
      <c r="F101" s="146" cm="1">
        <f t="array" ref="F101">SUMPRODUCT((MONTH(tblScope2[Date])=MONTH(F$99))*(tblScope2[tCO₂e]))</f>
        <v>25.968</v>
      </c>
      <c r="G101" s="146" cm="1">
        <f t="array" ref="G101">SUMPRODUCT((MONTH(tblScope2[Date])=MONTH(G$99))*(tblScope2[tCO₂e]))</f>
        <v>26.482999999999997</v>
      </c>
      <c r="H101" s="146" cm="1">
        <f t="array" ref="H101">SUMPRODUCT((MONTH(tblScope2[Date])=MONTH(H$99))*(tblScope2[tCO₂e]))</f>
        <v>27.417999999999999</v>
      </c>
      <c r="I101" s="146" cm="1">
        <f t="array" ref="I101">SUMPRODUCT((MONTH(tblScope2[Date])=MONTH(I$99))*(tblScope2[tCO₂e]))</f>
        <v>29.713999999999999</v>
      </c>
      <c r="J101" s="146" cm="1">
        <f t="array" ref="J101">SUMPRODUCT((MONTH(tblScope2[Date])=MONTH(J$99))*(tblScope2[tCO₂e]))</f>
        <v>31.281999999999996</v>
      </c>
      <c r="K101" s="146" cm="1">
        <f t="array" ref="K101">SUMPRODUCT((MONTH(tblScope2[Date])=MONTH(K$99))*(tblScope2[tCO₂e]))</f>
        <v>33.188000000000002</v>
      </c>
      <c r="L101" s="146" cm="1">
        <f t="array" ref="L101">SUMPRODUCT((MONTH(tblScope2[Date])=MONTH(L$99))*(tblScope2[tCO₂e]))</f>
        <v>27.358999999999998</v>
      </c>
      <c r="M101" s="146" cm="1">
        <f t="array" ref="M101">SUMPRODUCT((MONTH(tblScope2[Date])=MONTH(M$99))*(tblScope2[tCO₂e]))</f>
        <v>25.849999999999998</v>
      </c>
      <c r="N101" s="146" cm="1">
        <f t="array" ref="N101">SUMPRODUCT((MONTH(tblScope2[Date])=MONTH(N$99))*(tblScope2[tCO₂e]))</f>
        <v>24.760999999999999</v>
      </c>
      <c r="O101" s="140"/>
      <c r="P101" s="140"/>
      <c r="Q101" s="140"/>
      <c r="R101" s="140"/>
      <c r="S101" s="140"/>
      <c r="T101" s="140"/>
      <c r="U101" s="140"/>
      <c r="V101" s="140"/>
      <c r="W101" s="140"/>
      <c r="X101" s="140"/>
      <c r="Y101" s="140"/>
      <c r="Z101" s="140"/>
      <c r="AA101" s="140"/>
      <c r="AB101" s="140"/>
    </row>
  </sheetData>
  <sheetProtection algorithmName="SHA-512" hashValue="JvwVWNb0goLjhhvgIGXSiT9knCjgFuRszVYuRPfu6QnxTQ6Oz3LhgWTjbiDU2vgaKoy0lXO0voi1MFfPPly7uw==" saltValue="KVElHoQ5s43DB0y19ZbYTQ==" spinCount="100000" sheet="1" objects="1" scenarios="1"/>
  <mergeCells count="23">
    <mergeCell ref="C33:AC34"/>
    <mergeCell ref="C37:K39"/>
    <mergeCell ref="L37:T39"/>
    <mergeCell ref="U37:AC39"/>
    <mergeCell ref="C40:K42"/>
    <mergeCell ref="L40:T42"/>
    <mergeCell ref="U40:AC42"/>
    <mergeCell ref="U43:AC45"/>
    <mergeCell ref="U46:AC48"/>
    <mergeCell ref="C43:K45"/>
    <mergeCell ref="L43:T45"/>
    <mergeCell ref="C46:K48"/>
    <mergeCell ref="L46:T48"/>
    <mergeCell ref="AD2:BA2"/>
    <mergeCell ref="AD3:BA3"/>
    <mergeCell ref="AD4:BA4"/>
    <mergeCell ref="C49:AC50"/>
    <mergeCell ref="C35:K36"/>
    <mergeCell ref="L35:T36"/>
    <mergeCell ref="U35:AC36"/>
    <mergeCell ref="B2:AB2"/>
    <mergeCell ref="B3:AB3"/>
    <mergeCell ref="B4:AB4"/>
  </mergeCells>
  <conditionalFormatting sqref="U43">
    <cfRule type="containsText" dxfId="1" priority="1" operator="containsText" text="Increase">
      <formula>NOT(ISERROR(SEARCH("Increase",U43)))</formula>
    </cfRule>
  </conditionalFormatting>
  <conditionalFormatting sqref="U43">
    <cfRule type="containsText" dxfId="0" priority="2" operator="containsText" text="Decrease">
      <formula>NOT(ISERROR(SEARCH("Decrease",U43)))</formula>
    </cfRule>
  </conditionalFormatting>
  <pageMargins left="2.7777777777777779E-3" right="2.7777777777777779E-3" top="2.7777777777777779E-3" bottom="2.7777777777777779E-3" header="0.511811023622047" footer="0.511811023622047"/>
  <pageSetup scale="64" orientation="landscape" horizontalDpi="300" verticalDpi="30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P124"/>
  <sheetViews>
    <sheetView showGridLines="0" zoomScaleNormal="100" workbookViewId="0">
      <pane xSplit="2" ySplit="5" topLeftCell="C69" activePane="bottomRight" state="frozen"/>
      <selection pane="topRight" activeCell="C1" sqref="C1"/>
      <selection pane="bottomLeft" activeCell="A6" sqref="A6"/>
      <selection pane="bottomRight" activeCell="P106" sqref="P106"/>
    </sheetView>
  </sheetViews>
  <sheetFormatPr defaultColWidth="8.7109375" defaultRowHeight="15" x14ac:dyDescent="0.25"/>
  <cols>
    <col min="1" max="1" width="2" customWidth="1"/>
    <col min="2" max="2" width="13.140625" bestFit="1" customWidth="1"/>
    <col min="3" max="3" width="18.5703125" bestFit="1" customWidth="1"/>
    <col min="4" max="4" width="21.140625" bestFit="1" customWidth="1"/>
    <col min="5" max="5" width="11.28515625" bestFit="1" customWidth="1"/>
    <col min="6" max="6" width="21" customWidth="1"/>
    <col min="7" max="7" width="22" customWidth="1"/>
    <col min="8" max="8" width="14" customWidth="1"/>
    <col min="9" max="9" width="8" customWidth="1"/>
    <col min="10" max="10" width="15" customWidth="1"/>
    <col min="11" max="11" width="16" customWidth="1"/>
    <col min="12" max="12" width="13.140625" bestFit="1" customWidth="1"/>
    <col min="13" max="13" width="18.5703125" bestFit="1" customWidth="1"/>
    <col min="14" max="14" width="24.42578125" customWidth="1"/>
    <col min="15" max="15" width="47.140625" customWidth="1"/>
    <col min="16" max="16" width="55.85546875" bestFit="1" customWidth="1"/>
    <col min="17" max="17" width="11.28515625" bestFit="1" customWidth="1"/>
  </cols>
  <sheetData>
    <row r="2" spans="2:16" ht="18" x14ac:dyDescent="0.25">
      <c r="B2" s="4" t="s">
        <v>30</v>
      </c>
    </row>
    <row r="3" spans="2:16" x14ac:dyDescent="0.25">
      <c r="B3" s="3" t="s">
        <v>31</v>
      </c>
    </row>
    <row r="5" spans="2:16" ht="31.5" customHeight="1" x14ac:dyDescent="0.25">
      <c r="B5" s="5" t="s">
        <v>32</v>
      </c>
      <c r="C5" s="6" t="s">
        <v>33</v>
      </c>
      <c r="D5" s="6" t="s">
        <v>34</v>
      </c>
      <c r="E5" s="6" t="s">
        <v>7</v>
      </c>
      <c r="F5" s="6" t="s">
        <v>35</v>
      </c>
      <c r="G5" s="6" t="s">
        <v>36</v>
      </c>
      <c r="H5" s="6" t="s">
        <v>37</v>
      </c>
      <c r="I5" s="6" t="s">
        <v>38</v>
      </c>
      <c r="J5" s="6" t="s">
        <v>39</v>
      </c>
      <c r="K5" s="6" t="s">
        <v>40</v>
      </c>
      <c r="L5" s="6" t="s">
        <v>41</v>
      </c>
      <c r="M5" s="6" t="s">
        <v>42</v>
      </c>
      <c r="N5" s="6" t="s">
        <v>3</v>
      </c>
      <c r="O5" s="6" t="s">
        <v>43</v>
      </c>
      <c r="P5" s="7" t="s">
        <v>44</v>
      </c>
    </row>
    <row r="6" spans="2:16" ht="15" customHeight="1" x14ac:dyDescent="0.25">
      <c r="B6" s="43" t="s">
        <v>45</v>
      </c>
      <c r="C6" s="44">
        <v>46053</v>
      </c>
      <c r="D6" s="67" t="s">
        <v>8</v>
      </c>
      <c r="E6" s="29" t="s">
        <v>9</v>
      </c>
      <c r="F6" s="67" t="s">
        <v>46</v>
      </c>
      <c r="G6" s="67" t="s">
        <v>47</v>
      </c>
      <c r="H6" s="45">
        <v>16380</v>
      </c>
      <c r="I6" s="28" t="s">
        <v>48</v>
      </c>
      <c r="J6" s="28" t="s">
        <v>49</v>
      </c>
      <c r="K6" s="46">
        <f>_xlfn.XLOOKUP(tblScope1[[#This Row],[EF ID]],tblEF[EF ID],tblEF[Aggregated EF],"To check",0)</f>
        <v>1.9313110000000002</v>
      </c>
      <c r="L6" s="28" t="str">
        <f>_xlfn.XLOOKUP(tblScope1[[#This Row],[EF ID]],tblEF[EF ID],tblEF[Aggregated EF Unit],"To check",0)</f>
        <v>kg CO₂e/m³</v>
      </c>
      <c r="M6" s="68">
        <f>IF(ISNUMBER($K6),$H6*$K6,"Check EF ID")</f>
        <v>31634.874180000003</v>
      </c>
      <c r="N6" s="69">
        <f>IF(ISNUMBER($M6),$M6/1000,"Check EF ID")</f>
        <v>31.634874180000004</v>
      </c>
      <c r="O6" s="29" t="s">
        <v>305</v>
      </c>
      <c r="P6" s="49" t="s">
        <v>50</v>
      </c>
    </row>
    <row r="7" spans="2:16" ht="15" customHeight="1" x14ac:dyDescent="0.25">
      <c r="B7" s="43" t="s">
        <v>51</v>
      </c>
      <c r="C7" s="44">
        <v>46081</v>
      </c>
      <c r="D7" s="67" t="s">
        <v>8</v>
      </c>
      <c r="E7" s="29" t="s">
        <v>9</v>
      </c>
      <c r="F7" s="67" t="s">
        <v>46</v>
      </c>
      <c r="G7" s="67" t="s">
        <v>47</v>
      </c>
      <c r="H7" s="45">
        <v>14700</v>
      </c>
      <c r="I7" s="28" t="s">
        <v>48</v>
      </c>
      <c r="J7" s="28" t="s">
        <v>49</v>
      </c>
      <c r="K7" s="46">
        <f>_xlfn.XLOOKUP(tblScope1[[#This Row],[EF ID]],tblEF[EF ID],tblEF[Aggregated EF],"To check",0)</f>
        <v>1.9313110000000002</v>
      </c>
      <c r="L7" s="28" t="str">
        <f>_xlfn.XLOOKUP(tblScope1[[#This Row],[EF ID]],tblEF[EF ID],tblEF[Aggregated EF Unit],"To check",0)</f>
        <v>kg CO₂e/m³</v>
      </c>
      <c r="M7" s="68">
        <f t="shared" ref="M7:M70" si="0">IF(ISNUMBER($K7),$H7*$K7,"Check EF ID")</f>
        <v>28390.271700000005</v>
      </c>
      <c r="N7" s="69">
        <f t="shared" ref="N7:N70" si="1">IF(ISNUMBER($M7),$M7/1000,"Check EF ID")</f>
        <v>28.390271700000003</v>
      </c>
      <c r="O7" s="29" t="s">
        <v>306</v>
      </c>
      <c r="P7" s="49" t="s">
        <v>50</v>
      </c>
    </row>
    <row r="8" spans="2:16" ht="15" customHeight="1" x14ac:dyDescent="0.25">
      <c r="B8" s="43" t="s">
        <v>52</v>
      </c>
      <c r="C8" s="44">
        <v>46112</v>
      </c>
      <c r="D8" s="67" t="s">
        <v>8</v>
      </c>
      <c r="E8" s="29" t="s">
        <v>9</v>
      </c>
      <c r="F8" s="67" t="s">
        <v>46</v>
      </c>
      <c r="G8" s="67" t="s">
        <v>47</v>
      </c>
      <c r="H8" s="45">
        <v>10920</v>
      </c>
      <c r="I8" s="28" t="s">
        <v>48</v>
      </c>
      <c r="J8" s="28" t="s">
        <v>49</v>
      </c>
      <c r="K8" s="46">
        <f>_xlfn.XLOOKUP(tblScope1[[#This Row],[EF ID]],tblEF[EF ID],tblEF[Aggregated EF],"To check",0)</f>
        <v>1.9313110000000002</v>
      </c>
      <c r="L8" s="28" t="str">
        <f>_xlfn.XLOOKUP(tblScope1[[#This Row],[EF ID]],tblEF[EF ID],tblEF[Aggregated EF Unit],"To check",0)</f>
        <v>kg CO₂e/m³</v>
      </c>
      <c r="M8" s="68">
        <f t="shared" si="0"/>
        <v>21089.916120000002</v>
      </c>
      <c r="N8" s="69">
        <f t="shared" si="1"/>
        <v>21.089916120000002</v>
      </c>
      <c r="O8" s="29" t="s">
        <v>307</v>
      </c>
      <c r="P8" s="49" t="s">
        <v>50</v>
      </c>
    </row>
    <row r="9" spans="2:16" ht="15" customHeight="1" x14ac:dyDescent="0.25">
      <c r="B9" s="43" t="s">
        <v>53</v>
      </c>
      <c r="C9" s="44">
        <v>46142</v>
      </c>
      <c r="D9" s="67" t="s">
        <v>8</v>
      </c>
      <c r="E9" s="29" t="s">
        <v>9</v>
      </c>
      <c r="F9" s="67" t="s">
        <v>46</v>
      </c>
      <c r="G9" s="67" t="s">
        <v>47</v>
      </c>
      <c r="H9" s="45">
        <v>8510</v>
      </c>
      <c r="I9" s="28" t="s">
        <v>48</v>
      </c>
      <c r="J9" s="28" t="s">
        <v>49</v>
      </c>
      <c r="K9" s="46">
        <f>_xlfn.XLOOKUP(tblScope1[[#This Row],[EF ID]],tblEF[EF ID],tblEF[Aggregated EF],"To check",0)</f>
        <v>1.9313110000000002</v>
      </c>
      <c r="L9" s="28" t="str">
        <f>_xlfn.XLOOKUP(tblScope1[[#This Row],[EF ID]],tblEF[EF ID],tblEF[Aggregated EF Unit],"To check",0)</f>
        <v>kg CO₂e/m³</v>
      </c>
      <c r="M9" s="68">
        <f t="shared" si="0"/>
        <v>16435.456610000001</v>
      </c>
      <c r="N9" s="69">
        <f t="shared" si="1"/>
        <v>16.435456610000003</v>
      </c>
      <c r="O9" s="29" t="s">
        <v>308</v>
      </c>
      <c r="P9" s="49" t="s">
        <v>50</v>
      </c>
    </row>
    <row r="10" spans="2:16" ht="15" customHeight="1" x14ac:dyDescent="0.25">
      <c r="B10" s="43" t="s">
        <v>54</v>
      </c>
      <c r="C10" s="44">
        <v>46173</v>
      </c>
      <c r="D10" s="67" t="s">
        <v>8</v>
      </c>
      <c r="E10" s="29" t="s">
        <v>9</v>
      </c>
      <c r="F10" s="67" t="s">
        <v>46</v>
      </c>
      <c r="G10" s="67" t="s">
        <v>47</v>
      </c>
      <c r="H10" s="45">
        <v>6100</v>
      </c>
      <c r="I10" s="28" t="s">
        <v>48</v>
      </c>
      <c r="J10" s="28" t="s">
        <v>49</v>
      </c>
      <c r="K10" s="46">
        <f>_xlfn.XLOOKUP(tblScope1[[#This Row],[EF ID]],tblEF[EF ID],tblEF[Aggregated EF],"To check",0)</f>
        <v>1.9313110000000002</v>
      </c>
      <c r="L10" s="28" t="str">
        <f>_xlfn.XLOOKUP(tblScope1[[#This Row],[EF ID]],tblEF[EF ID],tblEF[Aggregated EF Unit],"To check",0)</f>
        <v>kg CO₂e/m³</v>
      </c>
      <c r="M10" s="68">
        <f t="shared" si="0"/>
        <v>11780.997100000001</v>
      </c>
      <c r="N10" s="69">
        <f t="shared" si="1"/>
        <v>11.7809971</v>
      </c>
      <c r="O10" s="29" t="s">
        <v>309</v>
      </c>
      <c r="P10" s="49" t="s">
        <v>50</v>
      </c>
    </row>
    <row r="11" spans="2:16" ht="15" customHeight="1" x14ac:dyDescent="0.25">
      <c r="B11" s="43" t="s">
        <v>60</v>
      </c>
      <c r="C11" s="44">
        <v>46203</v>
      </c>
      <c r="D11" s="67" t="s">
        <v>8</v>
      </c>
      <c r="E11" s="29" t="s">
        <v>9</v>
      </c>
      <c r="F11" s="67" t="s">
        <v>46</v>
      </c>
      <c r="G11" s="67" t="s">
        <v>47</v>
      </c>
      <c r="H11" s="45">
        <v>3880</v>
      </c>
      <c r="I11" s="28" t="s">
        <v>48</v>
      </c>
      <c r="J11" s="28" t="s">
        <v>49</v>
      </c>
      <c r="K11" s="46">
        <f>_xlfn.XLOOKUP(tblScope1[[#This Row],[EF ID]],tblEF[EF ID],tblEF[Aggregated EF],"To check",0)</f>
        <v>1.9313110000000002</v>
      </c>
      <c r="L11" s="28" t="str">
        <f>_xlfn.XLOOKUP(tblScope1[[#This Row],[EF ID]],tblEF[EF ID],tblEF[Aggregated EF Unit],"To check",0)</f>
        <v>kg CO₂e/m³</v>
      </c>
      <c r="M11" s="68">
        <f t="shared" si="0"/>
        <v>7493.4866800000009</v>
      </c>
      <c r="N11" s="69">
        <f t="shared" si="1"/>
        <v>7.4934866800000011</v>
      </c>
      <c r="O11" s="29" t="s">
        <v>310</v>
      </c>
      <c r="P11" s="49" t="s">
        <v>50</v>
      </c>
    </row>
    <row r="12" spans="2:16" ht="15" customHeight="1" x14ac:dyDescent="0.25">
      <c r="B12" s="43" t="s">
        <v>61</v>
      </c>
      <c r="C12" s="44">
        <v>46234</v>
      </c>
      <c r="D12" s="67" t="s">
        <v>8</v>
      </c>
      <c r="E12" s="29" t="s">
        <v>9</v>
      </c>
      <c r="F12" s="67" t="s">
        <v>46</v>
      </c>
      <c r="G12" s="67" t="s">
        <v>47</v>
      </c>
      <c r="H12" s="45">
        <v>1860</v>
      </c>
      <c r="I12" s="28" t="s">
        <v>48</v>
      </c>
      <c r="J12" s="28" t="s">
        <v>49</v>
      </c>
      <c r="K12" s="46">
        <f>_xlfn.XLOOKUP(tblScope1[[#This Row],[EF ID]],tblEF[EF ID],tblEF[Aggregated EF],"To check",0)</f>
        <v>1.9313110000000002</v>
      </c>
      <c r="L12" s="28" t="str">
        <f>_xlfn.XLOOKUP(tblScope1[[#This Row],[EF ID]],tblEF[EF ID],tblEF[Aggregated EF Unit],"To check",0)</f>
        <v>kg CO₂e/m³</v>
      </c>
      <c r="M12" s="68">
        <f t="shared" si="0"/>
        <v>3592.2384600000005</v>
      </c>
      <c r="N12" s="69">
        <f t="shared" si="1"/>
        <v>3.5922384600000004</v>
      </c>
      <c r="O12" s="29" t="s">
        <v>311</v>
      </c>
      <c r="P12" s="49" t="s">
        <v>50</v>
      </c>
    </row>
    <row r="13" spans="2:16" ht="15" customHeight="1" x14ac:dyDescent="0.25">
      <c r="B13" s="43" t="s">
        <v>62</v>
      </c>
      <c r="C13" s="44">
        <v>46265</v>
      </c>
      <c r="D13" s="67" t="s">
        <v>8</v>
      </c>
      <c r="E13" s="29" t="s">
        <v>9</v>
      </c>
      <c r="F13" s="67" t="s">
        <v>46</v>
      </c>
      <c r="G13" s="67" t="s">
        <v>47</v>
      </c>
      <c r="H13" s="45">
        <v>1980</v>
      </c>
      <c r="I13" s="28" t="s">
        <v>48</v>
      </c>
      <c r="J13" s="28" t="s">
        <v>49</v>
      </c>
      <c r="K13" s="46">
        <f>_xlfn.XLOOKUP(tblScope1[[#This Row],[EF ID]],tblEF[EF ID],tblEF[Aggregated EF],"To check",0)</f>
        <v>1.9313110000000002</v>
      </c>
      <c r="L13" s="28" t="str">
        <f>_xlfn.XLOOKUP(tblScope1[[#This Row],[EF ID]],tblEF[EF ID],tblEF[Aggregated EF Unit],"To check",0)</f>
        <v>kg CO₂e/m³</v>
      </c>
      <c r="M13" s="68">
        <f t="shared" si="0"/>
        <v>3823.9957800000007</v>
      </c>
      <c r="N13" s="69">
        <f t="shared" si="1"/>
        <v>3.8239957800000006</v>
      </c>
      <c r="O13" s="29" t="s">
        <v>312</v>
      </c>
      <c r="P13" s="49" t="s">
        <v>50</v>
      </c>
    </row>
    <row r="14" spans="2:16" ht="15" customHeight="1" x14ac:dyDescent="0.25">
      <c r="B14" s="43" t="s">
        <v>63</v>
      </c>
      <c r="C14" s="44">
        <v>46295</v>
      </c>
      <c r="D14" s="67" t="s">
        <v>8</v>
      </c>
      <c r="E14" s="29" t="s">
        <v>9</v>
      </c>
      <c r="F14" s="67" t="s">
        <v>46</v>
      </c>
      <c r="G14" s="67" t="s">
        <v>47</v>
      </c>
      <c r="H14" s="45">
        <v>2360</v>
      </c>
      <c r="I14" s="28" t="s">
        <v>48</v>
      </c>
      <c r="J14" s="28" t="s">
        <v>49</v>
      </c>
      <c r="K14" s="46">
        <f>_xlfn.XLOOKUP(tblScope1[[#This Row],[EF ID]],tblEF[EF ID],tblEF[Aggregated EF],"To check",0)</f>
        <v>1.9313110000000002</v>
      </c>
      <c r="L14" s="28" t="str">
        <f>_xlfn.XLOOKUP(tblScope1[[#This Row],[EF ID]],tblEF[EF ID],tblEF[Aggregated EF Unit],"To check",0)</f>
        <v>kg CO₂e/m³</v>
      </c>
      <c r="M14" s="68">
        <f t="shared" si="0"/>
        <v>4557.8939600000003</v>
      </c>
      <c r="N14" s="69">
        <f t="shared" si="1"/>
        <v>4.5578939600000004</v>
      </c>
      <c r="O14" s="29" t="s">
        <v>313</v>
      </c>
      <c r="P14" s="49" t="s">
        <v>50</v>
      </c>
    </row>
    <row r="15" spans="2:16" ht="15" customHeight="1" x14ac:dyDescent="0.25">
      <c r="B15" s="43" t="s">
        <v>67</v>
      </c>
      <c r="C15" s="44">
        <v>46326</v>
      </c>
      <c r="D15" s="67" t="s">
        <v>8</v>
      </c>
      <c r="E15" s="29" t="s">
        <v>9</v>
      </c>
      <c r="F15" s="67" t="s">
        <v>46</v>
      </c>
      <c r="G15" s="67" t="s">
        <v>47</v>
      </c>
      <c r="H15" s="45">
        <v>6910</v>
      </c>
      <c r="I15" s="28" t="s">
        <v>48</v>
      </c>
      <c r="J15" s="28" t="s">
        <v>49</v>
      </c>
      <c r="K15" s="46">
        <f>_xlfn.XLOOKUP(tblScope1[[#This Row],[EF ID]],tblEF[EF ID],tblEF[Aggregated EF],"To check",0)</f>
        <v>1.9313110000000002</v>
      </c>
      <c r="L15" s="28" t="str">
        <f>_xlfn.XLOOKUP(tblScope1[[#This Row],[EF ID]],tblEF[EF ID],tblEF[Aggregated EF Unit],"To check",0)</f>
        <v>kg CO₂e/m³</v>
      </c>
      <c r="M15" s="68">
        <f t="shared" si="0"/>
        <v>13345.359010000002</v>
      </c>
      <c r="N15" s="69">
        <f t="shared" si="1"/>
        <v>13.345359010000003</v>
      </c>
      <c r="O15" s="29" t="s">
        <v>314</v>
      </c>
      <c r="P15" s="49" t="s">
        <v>50</v>
      </c>
    </row>
    <row r="16" spans="2:16" ht="15" customHeight="1" x14ac:dyDescent="0.25">
      <c r="B16" s="43" t="s">
        <v>68</v>
      </c>
      <c r="C16" s="44">
        <v>46356</v>
      </c>
      <c r="D16" s="67" t="s">
        <v>8</v>
      </c>
      <c r="E16" s="29" t="s">
        <v>9</v>
      </c>
      <c r="F16" s="67" t="s">
        <v>46</v>
      </c>
      <c r="G16" s="67" t="s">
        <v>47</v>
      </c>
      <c r="H16" s="45">
        <v>10680</v>
      </c>
      <c r="I16" s="28" t="s">
        <v>48</v>
      </c>
      <c r="J16" s="28" t="s">
        <v>49</v>
      </c>
      <c r="K16" s="46">
        <f>_xlfn.XLOOKUP(tblScope1[[#This Row],[EF ID]],tblEF[EF ID],tblEF[Aggregated EF],"To check",0)</f>
        <v>1.9313110000000002</v>
      </c>
      <c r="L16" s="28" t="str">
        <f>_xlfn.XLOOKUP(tblScope1[[#This Row],[EF ID]],tblEF[EF ID],tblEF[Aggregated EF Unit],"To check",0)</f>
        <v>kg CO₂e/m³</v>
      </c>
      <c r="M16" s="68">
        <f t="shared" si="0"/>
        <v>20626.401480000004</v>
      </c>
      <c r="N16" s="69">
        <f t="shared" si="1"/>
        <v>20.626401480000006</v>
      </c>
      <c r="O16" s="29" t="s">
        <v>315</v>
      </c>
      <c r="P16" s="49" t="s">
        <v>50</v>
      </c>
    </row>
    <row r="17" spans="2:16" ht="15" customHeight="1" x14ac:dyDescent="0.25">
      <c r="B17" s="43" t="s">
        <v>69</v>
      </c>
      <c r="C17" s="44">
        <v>46387</v>
      </c>
      <c r="D17" s="67" t="s">
        <v>8</v>
      </c>
      <c r="E17" s="29" t="s">
        <v>9</v>
      </c>
      <c r="F17" s="67" t="s">
        <v>46</v>
      </c>
      <c r="G17" s="67" t="s">
        <v>47</v>
      </c>
      <c r="H17" s="45">
        <v>13820</v>
      </c>
      <c r="I17" s="28" t="s">
        <v>48</v>
      </c>
      <c r="J17" s="28" t="s">
        <v>49</v>
      </c>
      <c r="K17" s="46">
        <f>_xlfn.XLOOKUP(tblScope1[[#This Row],[EF ID]],tblEF[EF ID],tblEF[Aggregated EF],"To check",0)</f>
        <v>1.9313110000000002</v>
      </c>
      <c r="L17" s="28" t="str">
        <f>_xlfn.XLOOKUP(tblScope1[[#This Row],[EF ID]],tblEF[EF ID],tblEF[Aggregated EF Unit],"To check",0)</f>
        <v>kg CO₂e/m³</v>
      </c>
      <c r="M17" s="68">
        <f t="shared" si="0"/>
        <v>26690.718020000004</v>
      </c>
      <c r="N17" s="69">
        <f t="shared" si="1"/>
        <v>26.690718020000006</v>
      </c>
      <c r="O17" s="29" t="s">
        <v>316</v>
      </c>
      <c r="P17" s="49" t="s">
        <v>50</v>
      </c>
    </row>
    <row r="18" spans="2:16" ht="15" customHeight="1" x14ac:dyDescent="0.25">
      <c r="B18" s="43" t="s">
        <v>70</v>
      </c>
      <c r="C18" s="44">
        <v>46053</v>
      </c>
      <c r="D18" s="67" t="s">
        <v>8</v>
      </c>
      <c r="E18" s="29" t="s">
        <v>9</v>
      </c>
      <c r="F18" s="67" t="s">
        <v>55</v>
      </c>
      <c r="G18" s="67" t="s">
        <v>56</v>
      </c>
      <c r="H18" s="45">
        <v>1650</v>
      </c>
      <c r="I18" s="28" t="s">
        <v>57</v>
      </c>
      <c r="J18" s="28" t="s">
        <v>58</v>
      </c>
      <c r="K18" s="46">
        <f>_xlfn.XLOOKUP(tblScope1[[#This Row],[EF ID]],tblEF[EF ID],tblEF[Aggregated EF],"To check",0)</f>
        <v>2.3151000000000002</v>
      </c>
      <c r="L18" s="28" t="str">
        <f>_xlfn.XLOOKUP(tblScope1[[#This Row],[EF ID]],tblEF[EF ID],tblEF[Aggregated EF Unit],"To check",0)</f>
        <v>kg CO₂e/L</v>
      </c>
      <c r="M18" s="68">
        <f t="shared" si="0"/>
        <v>3819.9150000000004</v>
      </c>
      <c r="N18" s="69">
        <f t="shared" si="1"/>
        <v>3.8199150000000004</v>
      </c>
      <c r="O18" s="29" t="s">
        <v>317</v>
      </c>
      <c r="P18" s="49" t="s">
        <v>59</v>
      </c>
    </row>
    <row r="19" spans="2:16" ht="15" customHeight="1" x14ac:dyDescent="0.25">
      <c r="B19" s="43" t="s">
        <v>72</v>
      </c>
      <c r="C19" s="44">
        <v>46081</v>
      </c>
      <c r="D19" s="67" t="s">
        <v>8</v>
      </c>
      <c r="E19" s="29" t="s">
        <v>9</v>
      </c>
      <c r="F19" s="67" t="s">
        <v>55</v>
      </c>
      <c r="G19" s="67" t="s">
        <v>56</v>
      </c>
      <c r="H19" s="45">
        <v>1600</v>
      </c>
      <c r="I19" s="28" t="s">
        <v>57</v>
      </c>
      <c r="J19" s="28" t="s">
        <v>58</v>
      </c>
      <c r="K19" s="46">
        <f>_xlfn.XLOOKUP(tblScope1[[#This Row],[EF ID]],tblEF[EF ID],tblEF[Aggregated EF],"To check",0)</f>
        <v>2.3151000000000002</v>
      </c>
      <c r="L19" s="28" t="str">
        <f>_xlfn.XLOOKUP(tblScope1[[#This Row],[EF ID]],tblEF[EF ID],tblEF[Aggregated EF Unit],"To check",0)</f>
        <v>kg CO₂e/L</v>
      </c>
      <c r="M19" s="68">
        <f t="shared" si="0"/>
        <v>3704.1600000000003</v>
      </c>
      <c r="N19" s="69">
        <f t="shared" si="1"/>
        <v>3.7041600000000003</v>
      </c>
      <c r="O19" s="29" t="s">
        <v>318</v>
      </c>
      <c r="P19" s="49" t="s">
        <v>59</v>
      </c>
    </row>
    <row r="20" spans="2:16" ht="15" customHeight="1" x14ac:dyDescent="0.25">
      <c r="B20" s="43" t="s">
        <v>73</v>
      </c>
      <c r="C20" s="44">
        <v>46112</v>
      </c>
      <c r="D20" s="67" t="s">
        <v>8</v>
      </c>
      <c r="E20" s="29" t="s">
        <v>9</v>
      </c>
      <c r="F20" s="67" t="s">
        <v>55</v>
      </c>
      <c r="G20" s="67" t="s">
        <v>56</v>
      </c>
      <c r="H20" s="45">
        <v>1600</v>
      </c>
      <c r="I20" s="28" t="s">
        <v>57</v>
      </c>
      <c r="J20" s="28" t="s">
        <v>58</v>
      </c>
      <c r="K20" s="46">
        <f>_xlfn.XLOOKUP(tblScope1[[#This Row],[EF ID]],tblEF[EF ID],tblEF[Aggregated EF],"To check",0)</f>
        <v>2.3151000000000002</v>
      </c>
      <c r="L20" s="28" t="str">
        <f>_xlfn.XLOOKUP(tblScope1[[#This Row],[EF ID]],tblEF[EF ID],tblEF[Aggregated EF Unit],"To check",0)</f>
        <v>kg CO₂e/L</v>
      </c>
      <c r="M20" s="68">
        <f t="shared" si="0"/>
        <v>3704.1600000000003</v>
      </c>
      <c r="N20" s="69">
        <f t="shared" si="1"/>
        <v>3.7041600000000003</v>
      </c>
      <c r="O20" s="29" t="s">
        <v>319</v>
      </c>
      <c r="P20" s="49" t="s">
        <v>59</v>
      </c>
    </row>
    <row r="21" spans="2:16" ht="15" customHeight="1" x14ac:dyDescent="0.25">
      <c r="B21" s="43" t="s">
        <v>74</v>
      </c>
      <c r="C21" s="44">
        <v>46142</v>
      </c>
      <c r="D21" s="67" t="s">
        <v>8</v>
      </c>
      <c r="E21" s="29" t="s">
        <v>9</v>
      </c>
      <c r="F21" s="67" t="s">
        <v>55</v>
      </c>
      <c r="G21" s="67" t="s">
        <v>56</v>
      </c>
      <c r="H21" s="45">
        <v>1640</v>
      </c>
      <c r="I21" s="28" t="s">
        <v>57</v>
      </c>
      <c r="J21" s="28" t="s">
        <v>58</v>
      </c>
      <c r="K21" s="46">
        <f>_xlfn.XLOOKUP(tblScope1[[#This Row],[EF ID]],tblEF[EF ID],tblEF[Aggregated EF],"To check",0)</f>
        <v>2.3151000000000002</v>
      </c>
      <c r="L21" s="28" t="str">
        <f>_xlfn.XLOOKUP(tblScope1[[#This Row],[EF ID]],tblEF[EF ID],tblEF[Aggregated EF Unit],"To check",0)</f>
        <v>kg CO₂e/L</v>
      </c>
      <c r="M21" s="68">
        <f t="shared" si="0"/>
        <v>3796.7640000000001</v>
      </c>
      <c r="N21" s="69">
        <f t="shared" si="1"/>
        <v>3.796764</v>
      </c>
      <c r="O21" s="29" t="s">
        <v>320</v>
      </c>
      <c r="P21" s="49" t="s">
        <v>59</v>
      </c>
    </row>
    <row r="22" spans="2:16" ht="15" customHeight="1" x14ac:dyDescent="0.25">
      <c r="B22" s="43" t="s">
        <v>75</v>
      </c>
      <c r="C22" s="44">
        <v>46173</v>
      </c>
      <c r="D22" s="67" t="s">
        <v>8</v>
      </c>
      <c r="E22" s="29" t="s">
        <v>9</v>
      </c>
      <c r="F22" s="67" t="s">
        <v>55</v>
      </c>
      <c r="G22" s="67" t="s">
        <v>56</v>
      </c>
      <c r="H22" s="45">
        <v>1740</v>
      </c>
      <c r="I22" s="28" t="s">
        <v>57</v>
      </c>
      <c r="J22" s="28" t="s">
        <v>58</v>
      </c>
      <c r="K22" s="46">
        <f>_xlfn.XLOOKUP(tblScope1[[#This Row],[EF ID]],tblEF[EF ID],tblEF[Aggregated EF],"To check",0)</f>
        <v>2.3151000000000002</v>
      </c>
      <c r="L22" s="28" t="str">
        <f>_xlfn.XLOOKUP(tblScope1[[#This Row],[EF ID]],tblEF[EF ID],tblEF[Aggregated EF Unit],"To check",0)</f>
        <v>kg CO₂e/L</v>
      </c>
      <c r="M22" s="68">
        <f t="shared" si="0"/>
        <v>4028.2740000000003</v>
      </c>
      <c r="N22" s="69">
        <f t="shared" si="1"/>
        <v>4.0282740000000006</v>
      </c>
      <c r="O22" s="29" t="s">
        <v>321</v>
      </c>
      <c r="P22" s="49" t="s">
        <v>59</v>
      </c>
    </row>
    <row r="23" spans="2:16" ht="15" customHeight="1" x14ac:dyDescent="0.25">
      <c r="B23" s="43" t="s">
        <v>76</v>
      </c>
      <c r="C23" s="44">
        <v>46203</v>
      </c>
      <c r="D23" s="67" t="s">
        <v>8</v>
      </c>
      <c r="E23" s="29" t="s">
        <v>9</v>
      </c>
      <c r="F23" s="67" t="s">
        <v>55</v>
      </c>
      <c r="G23" s="67" t="s">
        <v>56</v>
      </c>
      <c r="H23" s="45">
        <v>1740</v>
      </c>
      <c r="I23" s="28" t="s">
        <v>57</v>
      </c>
      <c r="J23" s="28" t="s">
        <v>58</v>
      </c>
      <c r="K23" s="46">
        <f>_xlfn.XLOOKUP(tblScope1[[#This Row],[EF ID]],tblEF[EF ID],tblEF[Aggregated EF],"To check",0)</f>
        <v>2.3151000000000002</v>
      </c>
      <c r="L23" s="28" t="str">
        <f>_xlfn.XLOOKUP(tblScope1[[#This Row],[EF ID]],tblEF[EF ID],tblEF[Aggregated EF Unit],"To check",0)</f>
        <v>kg CO₂e/L</v>
      </c>
      <c r="M23" s="68">
        <f t="shared" si="0"/>
        <v>4028.2740000000003</v>
      </c>
      <c r="N23" s="69">
        <f t="shared" si="1"/>
        <v>4.0282740000000006</v>
      </c>
      <c r="O23" s="29" t="s">
        <v>322</v>
      </c>
      <c r="P23" s="49" t="s">
        <v>59</v>
      </c>
    </row>
    <row r="24" spans="2:16" ht="15" customHeight="1" x14ac:dyDescent="0.25">
      <c r="B24" s="43" t="s">
        <v>77</v>
      </c>
      <c r="C24" s="44">
        <v>46234</v>
      </c>
      <c r="D24" s="67" t="s">
        <v>8</v>
      </c>
      <c r="E24" s="29" t="s">
        <v>9</v>
      </c>
      <c r="F24" s="67" t="s">
        <v>55</v>
      </c>
      <c r="G24" s="67" t="s">
        <v>56</v>
      </c>
      <c r="H24" s="45">
        <v>1810</v>
      </c>
      <c r="I24" s="28" t="s">
        <v>57</v>
      </c>
      <c r="J24" s="28" t="s">
        <v>58</v>
      </c>
      <c r="K24" s="46">
        <f>_xlfn.XLOOKUP(tblScope1[[#This Row],[EF ID]],tblEF[EF ID],tblEF[Aggregated EF],"To check",0)</f>
        <v>2.3151000000000002</v>
      </c>
      <c r="L24" s="28" t="str">
        <f>_xlfn.XLOOKUP(tblScope1[[#This Row],[EF ID]],tblEF[EF ID],tblEF[Aggregated EF Unit],"To check",0)</f>
        <v>kg CO₂e/L</v>
      </c>
      <c r="M24" s="68">
        <f t="shared" si="0"/>
        <v>4190.3310000000001</v>
      </c>
      <c r="N24" s="69">
        <f t="shared" si="1"/>
        <v>4.1903310000000005</v>
      </c>
      <c r="O24" s="29" t="s">
        <v>323</v>
      </c>
      <c r="P24" s="49" t="s">
        <v>59</v>
      </c>
    </row>
    <row r="25" spans="2:16" ht="15" customHeight="1" x14ac:dyDescent="0.25">
      <c r="B25" s="43" t="s">
        <v>78</v>
      </c>
      <c r="C25" s="44">
        <v>46265</v>
      </c>
      <c r="D25" s="67" t="s">
        <v>8</v>
      </c>
      <c r="E25" s="29" t="s">
        <v>9</v>
      </c>
      <c r="F25" s="67" t="s">
        <v>55</v>
      </c>
      <c r="G25" s="67" t="s">
        <v>56</v>
      </c>
      <c r="H25" s="45">
        <v>1860</v>
      </c>
      <c r="I25" s="28" t="s">
        <v>57</v>
      </c>
      <c r="J25" s="28" t="s">
        <v>58</v>
      </c>
      <c r="K25" s="46">
        <f>_xlfn.XLOOKUP(tblScope1[[#This Row],[EF ID]],tblEF[EF ID],tblEF[Aggregated EF],"To check",0)</f>
        <v>2.3151000000000002</v>
      </c>
      <c r="L25" s="28" t="str">
        <f>_xlfn.XLOOKUP(tblScope1[[#This Row],[EF ID]],tblEF[EF ID],tblEF[Aggregated EF Unit],"To check",0)</f>
        <v>kg CO₂e/L</v>
      </c>
      <c r="M25" s="68">
        <f t="shared" si="0"/>
        <v>4306.0860000000002</v>
      </c>
      <c r="N25" s="69">
        <f t="shared" si="1"/>
        <v>4.3060860000000005</v>
      </c>
      <c r="O25" s="29" t="s">
        <v>324</v>
      </c>
      <c r="P25" s="49" t="s">
        <v>59</v>
      </c>
    </row>
    <row r="26" spans="2:16" ht="15" customHeight="1" x14ac:dyDescent="0.25">
      <c r="B26" s="43" t="s">
        <v>79</v>
      </c>
      <c r="C26" s="44">
        <v>46295</v>
      </c>
      <c r="D26" s="67" t="s">
        <v>8</v>
      </c>
      <c r="E26" s="29" t="s">
        <v>9</v>
      </c>
      <c r="F26" s="67" t="s">
        <v>55</v>
      </c>
      <c r="G26" s="67" t="s">
        <v>56</v>
      </c>
      <c r="H26" s="45">
        <v>1810</v>
      </c>
      <c r="I26" s="28" t="s">
        <v>57</v>
      </c>
      <c r="J26" s="28" t="s">
        <v>58</v>
      </c>
      <c r="K26" s="46">
        <f>_xlfn.XLOOKUP(tblScope1[[#This Row],[EF ID]],tblEF[EF ID],tblEF[Aggregated EF],"To check",0)</f>
        <v>2.3151000000000002</v>
      </c>
      <c r="L26" s="28" t="str">
        <f>_xlfn.XLOOKUP(tblScope1[[#This Row],[EF ID]],tblEF[EF ID],tblEF[Aggregated EF Unit],"To check",0)</f>
        <v>kg CO₂e/L</v>
      </c>
      <c r="M26" s="68">
        <f t="shared" si="0"/>
        <v>4190.3310000000001</v>
      </c>
      <c r="N26" s="69">
        <f t="shared" si="1"/>
        <v>4.1903310000000005</v>
      </c>
      <c r="O26" s="29" t="s">
        <v>325</v>
      </c>
      <c r="P26" s="49" t="s">
        <v>59</v>
      </c>
    </row>
    <row r="27" spans="2:16" ht="15" customHeight="1" x14ac:dyDescent="0.25">
      <c r="B27" s="43" t="s">
        <v>81</v>
      </c>
      <c r="C27" s="44">
        <v>46326</v>
      </c>
      <c r="D27" s="67" t="s">
        <v>8</v>
      </c>
      <c r="E27" s="29" t="s">
        <v>9</v>
      </c>
      <c r="F27" s="67" t="s">
        <v>55</v>
      </c>
      <c r="G27" s="67" t="s">
        <v>56</v>
      </c>
      <c r="H27" s="45">
        <v>1620</v>
      </c>
      <c r="I27" s="28" t="s">
        <v>57</v>
      </c>
      <c r="J27" s="28" t="s">
        <v>58</v>
      </c>
      <c r="K27" s="46">
        <f>_xlfn.XLOOKUP(tblScope1[[#This Row],[EF ID]],tblEF[EF ID],tblEF[Aggregated EF],"To check",0)</f>
        <v>2.3151000000000002</v>
      </c>
      <c r="L27" s="28" t="str">
        <f>_xlfn.XLOOKUP(tblScope1[[#This Row],[EF ID]],tblEF[EF ID],tblEF[Aggregated EF Unit],"To check",0)</f>
        <v>kg CO₂e/L</v>
      </c>
      <c r="M27" s="68">
        <f t="shared" si="0"/>
        <v>3750.4620000000004</v>
      </c>
      <c r="N27" s="69">
        <f t="shared" si="1"/>
        <v>3.7504620000000006</v>
      </c>
      <c r="O27" s="29" t="s">
        <v>326</v>
      </c>
      <c r="P27" s="49" t="s">
        <v>59</v>
      </c>
    </row>
    <row r="28" spans="2:16" ht="15" customHeight="1" x14ac:dyDescent="0.25">
      <c r="B28" s="43" t="s">
        <v>82</v>
      </c>
      <c r="C28" s="44">
        <v>46356</v>
      </c>
      <c r="D28" s="67" t="s">
        <v>8</v>
      </c>
      <c r="E28" s="29" t="s">
        <v>9</v>
      </c>
      <c r="F28" s="67" t="s">
        <v>55</v>
      </c>
      <c r="G28" s="67" t="s">
        <v>56</v>
      </c>
      <c r="H28" s="45">
        <v>1570</v>
      </c>
      <c r="I28" s="28" t="s">
        <v>57</v>
      </c>
      <c r="J28" s="28" t="s">
        <v>58</v>
      </c>
      <c r="K28" s="46">
        <f>_xlfn.XLOOKUP(tblScope1[[#This Row],[EF ID]],tblEF[EF ID],tblEF[Aggregated EF],"To check",0)</f>
        <v>2.3151000000000002</v>
      </c>
      <c r="L28" s="28" t="str">
        <f>_xlfn.XLOOKUP(tblScope1[[#This Row],[EF ID]],tblEF[EF ID],tblEF[Aggregated EF Unit],"To check",0)</f>
        <v>kg CO₂e/L</v>
      </c>
      <c r="M28" s="68">
        <f t="shared" si="0"/>
        <v>3634.7070000000003</v>
      </c>
      <c r="N28" s="69">
        <f t="shared" si="1"/>
        <v>3.6347070000000001</v>
      </c>
      <c r="O28" s="29" t="s">
        <v>327</v>
      </c>
      <c r="P28" s="49" t="s">
        <v>59</v>
      </c>
    </row>
    <row r="29" spans="2:16" ht="15" customHeight="1" x14ac:dyDescent="0.25">
      <c r="B29" s="43" t="s">
        <v>83</v>
      </c>
      <c r="C29" s="44">
        <v>46387</v>
      </c>
      <c r="D29" s="67" t="s">
        <v>8</v>
      </c>
      <c r="E29" s="29" t="s">
        <v>9</v>
      </c>
      <c r="F29" s="67" t="s">
        <v>55</v>
      </c>
      <c r="G29" s="67" t="s">
        <v>56</v>
      </c>
      <c r="H29" s="45">
        <v>1570</v>
      </c>
      <c r="I29" s="28" t="s">
        <v>57</v>
      </c>
      <c r="J29" s="28" t="s">
        <v>58</v>
      </c>
      <c r="K29" s="46">
        <f>_xlfn.XLOOKUP(tblScope1[[#This Row],[EF ID]],tblEF[EF ID],tblEF[Aggregated EF],"To check",0)</f>
        <v>2.3151000000000002</v>
      </c>
      <c r="L29" s="28" t="str">
        <f>_xlfn.XLOOKUP(tblScope1[[#This Row],[EF ID]],tblEF[EF ID],tblEF[Aggregated EF Unit],"To check",0)</f>
        <v>kg CO₂e/L</v>
      </c>
      <c r="M29" s="68">
        <f t="shared" si="0"/>
        <v>3634.7070000000003</v>
      </c>
      <c r="N29" s="69">
        <f t="shared" si="1"/>
        <v>3.6347070000000001</v>
      </c>
      <c r="O29" s="29" t="s">
        <v>328</v>
      </c>
      <c r="P29" s="49" t="s">
        <v>59</v>
      </c>
    </row>
    <row r="30" spans="2:16" ht="15" customHeight="1" x14ac:dyDescent="0.25">
      <c r="B30" s="43" t="s">
        <v>84</v>
      </c>
      <c r="C30" s="44">
        <v>46053</v>
      </c>
      <c r="D30" s="67" t="s">
        <v>8</v>
      </c>
      <c r="E30" s="29" t="s">
        <v>9</v>
      </c>
      <c r="F30" s="67" t="s">
        <v>55</v>
      </c>
      <c r="G30" s="67" t="s">
        <v>64</v>
      </c>
      <c r="H30" s="45">
        <v>730</v>
      </c>
      <c r="I30" s="28" t="s">
        <v>57</v>
      </c>
      <c r="J30" s="28" t="s">
        <v>65</v>
      </c>
      <c r="K30" s="46">
        <f>_xlfn.XLOOKUP(tblScope1[[#This Row],[EF ID]],tblEF[EF ID],tblEF[Aggregated EF],"To check",0)</f>
        <v>2.6890140000000002</v>
      </c>
      <c r="L30" s="28" t="str">
        <f>_xlfn.XLOOKUP(tblScope1[[#This Row],[EF ID]],tblEF[EF ID],tblEF[Aggregated EF Unit],"To check",0)</f>
        <v>kg CO₂e/L</v>
      </c>
      <c r="M30" s="68">
        <f t="shared" si="0"/>
        <v>1962.9802200000001</v>
      </c>
      <c r="N30" s="69">
        <f t="shared" si="1"/>
        <v>1.9629802200000002</v>
      </c>
      <c r="O30" s="29" t="s">
        <v>317</v>
      </c>
      <c r="P30" s="49" t="s">
        <v>66</v>
      </c>
    </row>
    <row r="31" spans="2:16" ht="15" customHeight="1" x14ac:dyDescent="0.25">
      <c r="B31" s="43" t="s">
        <v>86</v>
      </c>
      <c r="C31" s="44">
        <v>46081</v>
      </c>
      <c r="D31" s="67" t="s">
        <v>8</v>
      </c>
      <c r="E31" s="29" t="s">
        <v>9</v>
      </c>
      <c r="F31" s="67" t="s">
        <v>55</v>
      </c>
      <c r="G31" s="67" t="s">
        <v>64</v>
      </c>
      <c r="H31" s="45">
        <v>710</v>
      </c>
      <c r="I31" s="28" t="s">
        <v>57</v>
      </c>
      <c r="J31" s="28" t="s">
        <v>65</v>
      </c>
      <c r="K31" s="46">
        <f>_xlfn.XLOOKUP(tblScope1[[#This Row],[EF ID]],tblEF[EF ID],tblEF[Aggregated EF],"To check",0)</f>
        <v>2.6890140000000002</v>
      </c>
      <c r="L31" s="28" t="str">
        <f>_xlfn.XLOOKUP(tblScope1[[#This Row],[EF ID]],tblEF[EF ID],tblEF[Aggregated EF Unit],"To check",0)</f>
        <v>kg CO₂e/L</v>
      </c>
      <c r="M31" s="68">
        <f t="shared" si="0"/>
        <v>1909.1999400000002</v>
      </c>
      <c r="N31" s="69">
        <f t="shared" si="1"/>
        <v>1.9091999400000002</v>
      </c>
      <c r="O31" s="29" t="s">
        <v>318</v>
      </c>
      <c r="P31" s="49" t="s">
        <v>66</v>
      </c>
    </row>
    <row r="32" spans="2:16" ht="15" customHeight="1" x14ac:dyDescent="0.25">
      <c r="B32" s="43" t="s">
        <v>87</v>
      </c>
      <c r="C32" s="44">
        <v>46112</v>
      </c>
      <c r="D32" s="67" t="s">
        <v>8</v>
      </c>
      <c r="E32" s="29" t="s">
        <v>9</v>
      </c>
      <c r="F32" s="67" t="s">
        <v>55</v>
      </c>
      <c r="G32" s="67" t="s">
        <v>64</v>
      </c>
      <c r="H32" s="45">
        <v>710</v>
      </c>
      <c r="I32" s="28" t="s">
        <v>57</v>
      </c>
      <c r="J32" s="28" t="s">
        <v>65</v>
      </c>
      <c r="K32" s="46">
        <f>_xlfn.XLOOKUP(tblScope1[[#This Row],[EF ID]],tblEF[EF ID],tblEF[Aggregated EF],"To check",0)</f>
        <v>2.6890140000000002</v>
      </c>
      <c r="L32" s="28" t="str">
        <f>_xlfn.XLOOKUP(tblScope1[[#This Row],[EF ID]],tblEF[EF ID],tblEF[Aggregated EF Unit],"To check",0)</f>
        <v>kg CO₂e/L</v>
      </c>
      <c r="M32" s="68">
        <f t="shared" si="0"/>
        <v>1909.1999400000002</v>
      </c>
      <c r="N32" s="69">
        <f t="shared" si="1"/>
        <v>1.9091999400000002</v>
      </c>
      <c r="O32" s="29" t="s">
        <v>319</v>
      </c>
      <c r="P32" s="49" t="s">
        <v>66</v>
      </c>
    </row>
    <row r="33" spans="2:16" ht="15" customHeight="1" x14ac:dyDescent="0.25">
      <c r="B33" s="43" t="s">
        <v>88</v>
      </c>
      <c r="C33" s="44">
        <v>46142</v>
      </c>
      <c r="D33" s="67" t="s">
        <v>8</v>
      </c>
      <c r="E33" s="29" t="s">
        <v>9</v>
      </c>
      <c r="F33" s="67" t="s">
        <v>55</v>
      </c>
      <c r="G33" s="67" t="s">
        <v>64</v>
      </c>
      <c r="H33" s="45">
        <v>760</v>
      </c>
      <c r="I33" s="28" t="s">
        <v>57</v>
      </c>
      <c r="J33" s="28" t="s">
        <v>65</v>
      </c>
      <c r="K33" s="46">
        <f>_xlfn.XLOOKUP(tblScope1[[#This Row],[EF ID]],tblEF[EF ID],tblEF[Aggregated EF],"To check",0)</f>
        <v>2.6890140000000002</v>
      </c>
      <c r="L33" s="28" t="str">
        <f>_xlfn.XLOOKUP(tblScope1[[#This Row],[EF ID]],tblEF[EF ID],tblEF[Aggregated EF Unit],"To check",0)</f>
        <v>kg CO₂e/L</v>
      </c>
      <c r="M33" s="68">
        <f t="shared" si="0"/>
        <v>2043.6506400000003</v>
      </c>
      <c r="N33" s="69">
        <f t="shared" si="1"/>
        <v>2.0436506400000001</v>
      </c>
      <c r="O33" s="29" t="s">
        <v>320</v>
      </c>
      <c r="P33" s="49" t="s">
        <v>66</v>
      </c>
    </row>
    <row r="34" spans="2:16" ht="15" customHeight="1" x14ac:dyDescent="0.25">
      <c r="B34" s="43" t="s">
        <v>89</v>
      </c>
      <c r="C34" s="44">
        <v>46173</v>
      </c>
      <c r="D34" s="67" t="s">
        <v>8</v>
      </c>
      <c r="E34" s="29" t="s">
        <v>9</v>
      </c>
      <c r="F34" s="67" t="s">
        <v>55</v>
      </c>
      <c r="G34" s="67" t="s">
        <v>64</v>
      </c>
      <c r="H34" s="45">
        <v>810</v>
      </c>
      <c r="I34" s="28" t="s">
        <v>57</v>
      </c>
      <c r="J34" s="28" t="s">
        <v>65</v>
      </c>
      <c r="K34" s="46">
        <f>_xlfn.XLOOKUP(tblScope1[[#This Row],[EF ID]],tblEF[EF ID],tblEF[Aggregated EF],"To check",0)</f>
        <v>2.6890140000000002</v>
      </c>
      <c r="L34" s="28" t="str">
        <f>_xlfn.XLOOKUP(tblScope1[[#This Row],[EF ID]],tblEF[EF ID],tblEF[Aggregated EF Unit],"To check",0)</f>
        <v>kg CO₂e/L</v>
      </c>
      <c r="M34" s="68">
        <f t="shared" si="0"/>
        <v>2178.1013400000002</v>
      </c>
      <c r="N34" s="69">
        <f t="shared" si="1"/>
        <v>2.17810134</v>
      </c>
      <c r="O34" s="29" t="s">
        <v>321</v>
      </c>
      <c r="P34" s="49" t="s">
        <v>66</v>
      </c>
    </row>
    <row r="35" spans="2:16" ht="15" customHeight="1" x14ac:dyDescent="0.25">
      <c r="B35" s="43" t="s">
        <v>91</v>
      </c>
      <c r="C35" s="44">
        <v>46203</v>
      </c>
      <c r="D35" s="67" t="s">
        <v>8</v>
      </c>
      <c r="E35" s="29" t="s">
        <v>9</v>
      </c>
      <c r="F35" s="67" t="s">
        <v>55</v>
      </c>
      <c r="G35" s="67" t="s">
        <v>64</v>
      </c>
      <c r="H35" s="45">
        <v>810</v>
      </c>
      <c r="I35" s="28" t="s">
        <v>57</v>
      </c>
      <c r="J35" s="28" t="s">
        <v>65</v>
      </c>
      <c r="K35" s="46">
        <f>_xlfn.XLOOKUP(tblScope1[[#This Row],[EF ID]],tblEF[EF ID],tblEF[Aggregated EF],"To check",0)</f>
        <v>2.6890140000000002</v>
      </c>
      <c r="L35" s="28" t="str">
        <f>_xlfn.XLOOKUP(tblScope1[[#This Row],[EF ID]],tblEF[EF ID],tblEF[Aggregated EF Unit],"To check",0)</f>
        <v>kg CO₂e/L</v>
      </c>
      <c r="M35" s="68">
        <f t="shared" si="0"/>
        <v>2178.1013400000002</v>
      </c>
      <c r="N35" s="69">
        <f t="shared" si="1"/>
        <v>2.17810134</v>
      </c>
      <c r="O35" s="29" t="s">
        <v>322</v>
      </c>
      <c r="P35" s="49" t="s">
        <v>66</v>
      </c>
    </row>
    <row r="36" spans="2:16" ht="15" customHeight="1" x14ac:dyDescent="0.25">
      <c r="B36" s="43" t="s">
        <v>92</v>
      </c>
      <c r="C36" s="44">
        <v>46234</v>
      </c>
      <c r="D36" s="67" t="s">
        <v>8</v>
      </c>
      <c r="E36" s="29" t="s">
        <v>9</v>
      </c>
      <c r="F36" s="67" t="s">
        <v>55</v>
      </c>
      <c r="G36" s="67" t="s">
        <v>64</v>
      </c>
      <c r="H36" s="45">
        <v>830</v>
      </c>
      <c r="I36" s="28" t="s">
        <v>57</v>
      </c>
      <c r="J36" s="28" t="s">
        <v>65</v>
      </c>
      <c r="K36" s="46">
        <f>_xlfn.XLOOKUP(tblScope1[[#This Row],[EF ID]],tblEF[EF ID],tblEF[Aggregated EF],"To check",0)</f>
        <v>2.6890140000000002</v>
      </c>
      <c r="L36" s="28" t="str">
        <f>_xlfn.XLOOKUP(tblScope1[[#This Row],[EF ID]],tblEF[EF ID],tblEF[Aggregated EF Unit],"To check",0)</f>
        <v>kg CO₂e/L</v>
      </c>
      <c r="M36" s="68">
        <f t="shared" si="0"/>
        <v>2231.8816200000001</v>
      </c>
      <c r="N36" s="69">
        <f t="shared" si="1"/>
        <v>2.2318816200000002</v>
      </c>
      <c r="O36" s="29" t="s">
        <v>323</v>
      </c>
      <c r="P36" s="49" t="s">
        <v>66</v>
      </c>
    </row>
    <row r="37" spans="2:16" ht="15" customHeight="1" x14ac:dyDescent="0.25">
      <c r="B37" s="43" t="s">
        <v>93</v>
      </c>
      <c r="C37" s="44">
        <v>46265</v>
      </c>
      <c r="D37" s="67" t="s">
        <v>8</v>
      </c>
      <c r="E37" s="29" t="s">
        <v>9</v>
      </c>
      <c r="F37" s="67" t="s">
        <v>55</v>
      </c>
      <c r="G37" s="67" t="s">
        <v>64</v>
      </c>
      <c r="H37" s="45">
        <v>850</v>
      </c>
      <c r="I37" s="28" t="s">
        <v>57</v>
      </c>
      <c r="J37" s="28" t="s">
        <v>65</v>
      </c>
      <c r="K37" s="46">
        <f>_xlfn.XLOOKUP(tblScope1[[#This Row],[EF ID]],tblEF[EF ID],tblEF[Aggregated EF],"To check",0)</f>
        <v>2.6890140000000002</v>
      </c>
      <c r="L37" s="28" t="str">
        <f>_xlfn.XLOOKUP(tblScope1[[#This Row],[EF ID]],tblEF[EF ID],tblEF[Aggregated EF Unit],"To check",0)</f>
        <v>kg CO₂e/L</v>
      </c>
      <c r="M37" s="68">
        <f t="shared" si="0"/>
        <v>2285.6619000000001</v>
      </c>
      <c r="N37" s="69">
        <f t="shared" si="1"/>
        <v>2.2856619</v>
      </c>
      <c r="O37" s="29" t="s">
        <v>324</v>
      </c>
      <c r="P37" s="49" t="s">
        <v>66</v>
      </c>
    </row>
    <row r="38" spans="2:16" ht="15" customHeight="1" x14ac:dyDescent="0.25">
      <c r="B38" s="43" t="s">
        <v>329</v>
      </c>
      <c r="C38" s="44">
        <v>46295</v>
      </c>
      <c r="D38" s="67" t="s">
        <v>8</v>
      </c>
      <c r="E38" s="29" t="s">
        <v>9</v>
      </c>
      <c r="F38" s="67" t="s">
        <v>55</v>
      </c>
      <c r="G38" s="67" t="s">
        <v>64</v>
      </c>
      <c r="H38" s="45">
        <v>830</v>
      </c>
      <c r="I38" s="28" t="s">
        <v>57</v>
      </c>
      <c r="J38" s="28" t="s">
        <v>65</v>
      </c>
      <c r="K38" s="46">
        <f>_xlfn.XLOOKUP(tblScope1[[#This Row],[EF ID]],tblEF[EF ID],tblEF[Aggregated EF],"To check",0)</f>
        <v>2.6890140000000002</v>
      </c>
      <c r="L38" s="28" t="str">
        <f>_xlfn.XLOOKUP(tblScope1[[#This Row],[EF ID]],tblEF[EF ID],tblEF[Aggregated EF Unit],"To check",0)</f>
        <v>kg CO₂e/L</v>
      </c>
      <c r="M38" s="68">
        <f t="shared" si="0"/>
        <v>2231.8816200000001</v>
      </c>
      <c r="N38" s="69">
        <f t="shared" si="1"/>
        <v>2.2318816200000002</v>
      </c>
      <c r="O38" s="29" t="s">
        <v>325</v>
      </c>
      <c r="P38" s="49" t="s">
        <v>66</v>
      </c>
    </row>
    <row r="39" spans="2:16" ht="15" customHeight="1" x14ac:dyDescent="0.25">
      <c r="B39" s="43" t="s">
        <v>330</v>
      </c>
      <c r="C39" s="44">
        <v>46326</v>
      </c>
      <c r="D39" s="67" t="s">
        <v>8</v>
      </c>
      <c r="E39" s="29" t="s">
        <v>9</v>
      </c>
      <c r="F39" s="67" t="s">
        <v>55</v>
      </c>
      <c r="G39" s="67" t="s">
        <v>64</v>
      </c>
      <c r="H39" s="45">
        <v>700</v>
      </c>
      <c r="I39" s="28" t="s">
        <v>57</v>
      </c>
      <c r="J39" s="28" t="s">
        <v>65</v>
      </c>
      <c r="K39" s="46">
        <f>_xlfn.XLOOKUP(tblScope1[[#This Row],[EF ID]],tblEF[EF ID],tblEF[Aggregated EF],"To check",0)</f>
        <v>2.6890140000000002</v>
      </c>
      <c r="L39" s="28" t="str">
        <f>_xlfn.XLOOKUP(tblScope1[[#This Row],[EF ID]],tblEF[EF ID],tblEF[Aggregated EF Unit],"To check",0)</f>
        <v>kg CO₂e/L</v>
      </c>
      <c r="M39" s="68">
        <f t="shared" si="0"/>
        <v>1882.3098000000002</v>
      </c>
      <c r="N39" s="69">
        <f t="shared" si="1"/>
        <v>1.8823098000000003</v>
      </c>
      <c r="O39" s="29" t="s">
        <v>326</v>
      </c>
      <c r="P39" s="49" t="s">
        <v>66</v>
      </c>
    </row>
    <row r="40" spans="2:16" ht="15" customHeight="1" x14ac:dyDescent="0.25">
      <c r="B40" s="43" t="s">
        <v>331</v>
      </c>
      <c r="C40" s="44">
        <v>46356</v>
      </c>
      <c r="D40" s="67" t="s">
        <v>8</v>
      </c>
      <c r="E40" s="29" t="s">
        <v>9</v>
      </c>
      <c r="F40" s="67" t="s">
        <v>55</v>
      </c>
      <c r="G40" s="67" t="s">
        <v>64</v>
      </c>
      <c r="H40" s="45">
        <v>680</v>
      </c>
      <c r="I40" s="28" t="s">
        <v>57</v>
      </c>
      <c r="J40" s="28" t="s">
        <v>65</v>
      </c>
      <c r="K40" s="46">
        <f>_xlfn.XLOOKUP(tblScope1[[#This Row],[EF ID]],tblEF[EF ID],tblEF[Aggregated EF],"To check",0)</f>
        <v>2.6890140000000002</v>
      </c>
      <c r="L40" s="28" t="str">
        <f>_xlfn.XLOOKUP(tblScope1[[#This Row],[EF ID]],tblEF[EF ID],tblEF[Aggregated EF Unit],"To check",0)</f>
        <v>kg CO₂e/L</v>
      </c>
      <c r="M40" s="68">
        <f t="shared" si="0"/>
        <v>1828.52952</v>
      </c>
      <c r="N40" s="69">
        <f t="shared" si="1"/>
        <v>1.82852952</v>
      </c>
      <c r="O40" s="29" t="s">
        <v>327</v>
      </c>
      <c r="P40" s="49" t="s">
        <v>66</v>
      </c>
    </row>
    <row r="41" spans="2:16" ht="15" customHeight="1" x14ac:dyDescent="0.25">
      <c r="B41" s="43" t="s">
        <v>332</v>
      </c>
      <c r="C41" s="44">
        <v>46387</v>
      </c>
      <c r="D41" s="67" t="s">
        <v>8</v>
      </c>
      <c r="E41" s="29" t="s">
        <v>9</v>
      </c>
      <c r="F41" s="67" t="s">
        <v>55</v>
      </c>
      <c r="G41" s="67" t="s">
        <v>64</v>
      </c>
      <c r="H41" s="45">
        <v>680</v>
      </c>
      <c r="I41" s="28" t="s">
        <v>57</v>
      </c>
      <c r="J41" s="28" t="s">
        <v>65</v>
      </c>
      <c r="K41" s="46">
        <f>_xlfn.XLOOKUP(tblScope1[[#This Row],[EF ID]],tblEF[EF ID],tblEF[Aggregated EF],"To check",0)</f>
        <v>2.6890140000000002</v>
      </c>
      <c r="L41" s="28" t="str">
        <f>_xlfn.XLOOKUP(tblScope1[[#This Row],[EF ID]],tblEF[EF ID],tblEF[Aggregated EF Unit],"To check",0)</f>
        <v>kg CO₂e/L</v>
      </c>
      <c r="M41" s="68">
        <f t="shared" si="0"/>
        <v>1828.52952</v>
      </c>
      <c r="N41" s="69">
        <f t="shared" si="1"/>
        <v>1.82852952</v>
      </c>
      <c r="O41" s="29" t="s">
        <v>328</v>
      </c>
      <c r="P41" s="49" t="s">
        <v>66</v>
      </c>
    </row>
    <row r="42" spans="2:16" ht="15" customHeight="1" x14ac:dyDescent="0.25">
      <c r="B42" s="43" t="s">
        <v>333</v>
      </c>
      <c r="C42" s="44">
        <v>46053</v>
      </c>
      <c r="D42" s="67" t="s">
        <v>10</v>
      </c>
      <c r="E42" s="29" t="s">
        <v>11</v>
      </c>
      <c r="F42" s="67" t="s">
        <v>46</v>
      </c>
      <c r="G42" s="67" t="s">
        <v>47</v>
      </c>
      <c r="H42" s="45">
        <v>14350</v>
      </c>
      <c r="I42" s="28" t="s">
        <v>48</v>
      </c>
      <c r="J42" s="28" t="s">
        <v>71</v>
      </c>
      <c r="K42" s="46">
        <f>_xlfn.XLOOKUP(tblScope1[[#This Row],[EF ID]],tblEF[EF ID],tblEF[Aggregated EF],"To check",0)</f>
        <v>1.9723110000000001</v>
      </c>
      <c r="L42" s="28" t="str">
        <f>_xlfn.XLOOKUP(tblScope1[[#This Row],[EF ID]],tblEF[EF ID],tblEF[Aggregated EF Unit],"To check",0)</f>
        <v>kg CO₂e/m³</v>
      </c>
      <c r="M42" s="68">
        <f t="shared" si="0"/>
        <v>28302.662850000001</v>
      </c>
      <c r="N42" s="69">
        <f t="shared" si="1"/>
        <v>28.302662850000001</v>
      </c>
      <c r="O42" s="29" t="s">
        <v>305</v>
      </c>
      <c r="P42" s="49" t="s">
        <v>50</v>
      </c>
    </row>
    <row r="43" spans="2:16" ht="15" customHeight="1" x14ac:dyDescent="0.25">
      <c r="B43" s="43" t="s">
        <v>334</v>
      </c>
      <c r="C43" s="44">
        <v>46081</v>
      </c>
      <c r="D43" s="67" t="s">
        <v>10</v>
      </c>
      <c r="E43" s="29" t="s">
        <v>11</v>
      </c>
      <c r="F43" s="67" t="s">
        <v>46</v>
      </c>
      <c r="G43" s="67" t="s">
        <v>47</v>
      </c>
      <c r="H43" s="45">
        <v>12880</v>
      </c>
      <c r="I43" s="28" t="s">
        <v>48</v>
      </c>
      <c r="J43" s="28" t="s">
        <v>71</v>
      </c>
      <c r="K43" s="46">
        <f>_xlfn.XLOOKUP(tblScope1[[#This Row],[EF ID]],tblEF[EF ID],tblEF[Aggregated EF],"To check",0)</f>
        <v>1.9723110000000001</v>
      </c>
      <c r="L43" s="28" t="str">
        <f>_xlfn.XLOOKUP(tblScope1[[#This Row],[EF ID]],tblEF[EF ID],tblEF[Aggregated EF Unit],"To check",0)</f>
        <v>kg CO₂e/m³</v>
      </c>
      <c r="M43" s="68">
        <f t="shared" si="0"/>
        <v>25403.365680000003</v>
      </c>
      <c r="N43" s="69">
        <f t="shared" si="1"/>
        <v>25.403365680000004</v>
      </c>
      <c r="O43" s="29" t="s">
        <v>306</v>
      </c>
      <c r="P43" s="49" t="s">
        <v>50</v>
      </c>
    </row>
    <row r="44" spans="2:16" ht="15" customHeight="1" x14ac:dyDescent="0.25">
      <c r="B44" s="43" t="s">
        <v>335</v>
      </c>
      <c r="C44" s="44">
        <v>46112</v>
      </c>
      <c r="D44" s="67" t="s">
        <v>10</v>
      </c>
      <c r="E44" s="29" t="s">
        <v>11</v>
      </c>
      <c r="F44" s="67" t="s">
        <v>46</v>
      </c>
      <c r="G44" s="67" t="s">
        <v>47</v>
      </c>
      <c r="H44" s="45">
        <v>9570</v>
      </c>
      <c r="I44" s="28" t="s">
        <v>48</v>
      </c>
      <c r="J44" s="28" t="s">
        <v>71</v>
      </c>
      <c r="K44" s="46">
        <f>_xlfn.XLOOKUP(tblScope1[[#This Row],[EF ID]],tblEF[EF ID],tblEF[Aggregated EF],"To check",0)</f>
        <v>1.9723110000000001</v>
      </c>
      <c r="L44" s="28" t="str">
        <f>_xlfn.XLOOKUP(tblScope1[[#This Row],[EF ID]],tblEF[EF ID],tblEF[Aggregated EF Unit],"To check",0)</f>
        <v>kg CO₂e/m³</v>
      </c>
      <c r="M44" s="68">
        <f t="shared" si="0"/>
        <v>18875.01627</v>
      </c>
      <c r="N44" s="69">
        <f t="shared" si="1"/>
        <v>18.87501627</v>
      </c>
      <c r="O44" s="29" t="s">
        <v>307</v>
      </c>
      <c r="P44" s="49" t="s">
        <v>50</v>
      </c>
    </row>
    <row r="45" spans="2:16" ht="15" customHeight="1" x14ac:dyDescent="0.25">
      <c r="B45" s="43" t="s">
        <v>336</v>
      </c>
      <c r="C45" s="44">
        <v>46142</v>
      </c>
      <c r="D45" s="67" t="s">
        <v>10</v>
      </c>
      <c r="E45" s="29" t="s">
        <v>11</v>
      </c>
      <c r="F45" s="67" t="s">
        <v>46</v>
      </c>
      <c r="G45" s="67" t="s">
        <v>47</v>
      </c>
      <c r="H45" s="45">
        <v>7770</v>
      </c>
      <c r="I45" s="28" t="s">
        <v>48</v>
      </c>
      <c r="J45" s="28" t="s">
        <v>71</v>
      </c>
      <c r="K45" s="46">
        <f>_xlfn.XLOOKUP(tblScope1[[#This Row],[EF ID]],tblEF[EF ID],tblEF[Aggregated EF],"To check",0)</f>
        <v>1.9723110000000001</v>
      </c>
      <c r="L45" s="28" t="str">
        <f>_xlfn.XLOOKUP(tblScope1[[#This Row],[EF ID]],tblEF[EF ID],tblEF[Aggregated EF Unit],"To check",0)</f>
        <v>kg CO₂e/m³</v>
      </c>
      <c r="M45" s="68">
        <f t="shared" si="0"/>
        <v>15324.856470000001</v>
      </c>
      <c r="N45" s="69">
        <f t="shared" si="1"/>
        <v>15.32485647</v>
      </c>
      <c r="O45" s="29" t="s">
        <v>308</v>
      </c>
      <c r="P45" s="49" t="s">
        <v>50</v>
      </c>
    </row>
    <row r="46" spans="2:16" ht="15" customHeight="1" x14ac:dyDescent="0.25">
      <c r="B46" s="43" t="s">
        <v>337</v>
      </c>
      <c r="C46" s="44">
        <v>46173</v>
      </c>
      <c r="D46" s="67" t="s">
        <v>10</v>
      </c>
      <c r="E46" s="29" t="s">
        <v>11</v>
      </c>
      <c r="F46" s="67" t="s">
        <v>46</v>
      </c>
      <c r="G46" s="67" t="s">
        <v>47</v>
      </c>
      <c r="H46" s="45">
        <v>5580</v>
      </c>
      <c r="I46" s="28" t="s">
        <v>48</v>
      </c>
      <c r="J46" s="28" t="s">
        <v>71</v>
      </c>
      <c r="K46" s="46">
        <f>_xlfn.XLOOKUP(tblScope1[[#This Row],[EF ID]],tblEF[EF ID],tblEF[Aggregated EF],"To check",0)</f>
        <v>1.9723110000000001</v>
      </c>
      <c r="L46" s="28" t="str">
        <f>_xlfn.XLOOKUP(tblScope1[[#This Row],[EF ID]],tblEF[EF ID],tblEF[Aggregated EF Unit],"To check",0)</f>
        <v>kg CO₂e/m³</v>
      </c>
      <c r="M46" s="68">
        <f t="shared" si="0"/>
        <v>11005.49538</v>
      </c>
      <c r="N46" s="69">
        <f t="shared" si="1"/>
        <v>11.005495380000001</v>
      </c>
      <c r="O46" s="29" t="s">
        <v>309</v>
      </c>
      <c r="P46" s="49" t="s">
        <v>50</v>
      </c>
    </row>
    <row r="47" spans="2:16" ht="15" customHeight="1" x14ac:dyDescent="0.25">
      <c r="B47" s="43" t="s">
        <v>338</v>
      </c>
      <c r="C47" s="44">
        <v>46203</v>
      </c>
      <c r="D47" s="67" t="s">
        <v>10</v>
      </c>
      <c r="E47" s="29" t="s">
        <v>11</v>
      </c>
      <c r="F47" s="67" t="s">
        <v>46</v>
      </c>
      <c r="G47" s="67" t="s">
        <v>47</v>
      </c>
      <c r="H47" s="45">
        <v>3550</v>
      </c>
      <c r="I47" s="28" t="s">
        <v>48</v>
      </c>
      <c r="J47" s="28" t="s">
        <v>71</v>
      </c>
      <c r="K47" s="46">
        <f>_xlfn.XLOOKUP(tblScope1[[#This Row],[EF ID]],tblEF[EF ID],tblEF[Aggregated EF],"To check",0)</f>
        <v>1.9723110000000001</v>
      </c>
      <c r="L47" s="28" t="str">
        <f>_xlfn.XLOOKUP(tblScope1[[#This Row],[EF ID]],tblEF[EF ID],tblEF[Aggregated EF Unit],"To check",0)</f>
        <v>kg CO₂e/m³</v>
      </c>
      <c r="M47" s="68">
        <f t="shared" si="0"/>
        <v>7001.7040500000003</v>
      </c>
      <c r="N47" s="69">
        <f t="shared" si="1"/>
        <v>7.0017040499999998</v>
      </c>
      <c r="O47" s="29" t="s">
        <v>310</v>
      </c>
      <c r="P47" s="49" t="s">
        <v>50</v>
      </c>
    </row>
    <row r="48" spans="2:16" ht="15" customHeight="1" x14ac:dyDescent="0.25">
      <c r="B48" s="43" t="s">
        <v>339</v>
      </c>
      <c r="C48" s="44">
        <v>46234</v>
      </c>
      <c r="D48" s="67" t="s">
        <v>10</v>
      </c>
      <c r="E48" s="29" t="s">
        <v>11</v>
      </c>
      <c r="F48" s="67" t="s">
        <v>46</v>
      </c>
      <c r="G48" s="67" t="s">
        <v>47</v>
      </c>
      <c r="H48" s="45">
        <v>1620</v>
      </c>
      <c r="I48" s="28" t="s">
        <v>48</v>
      </c>
      <c r="J48" s="28" t="s">
        <v>71</v>
      </c>
      <c r="K48" s="46">
        <f>_xlfn.XLOOKUP(tblScope1[[#This Row],[EF ID]],tblEF[EF ID],tblEF[Aggregated EF],"To check",0)</f>
        <v>1.9723110000000001</v>
      </c>
      <c r="L48" s="28" t="str">
        <f>_xlfn.XLOOKUP(tblScope1[[#This Row],[EF ID]],tblEF[EF ID],tblEF[Aggregated EF Unit],"To check",0)</f>
        <v>kg CO₂e/m³</v>
      </c>
      <c r="M48" s="68">
        <f t="shared" si="0"/>
        <v>3195.1438200000002</v>
      </c>
      <c r="N48" s="69">
        <f t="shared" si="1"/>
        <v>3.1951438200000002</v>
      </c>
      <c r="O48" s="29" t="s">
        <v>311</v>
      </c>
      <c r="P48" s="49" t="s">
        <v>50</v>
      </c>
    </row>
    <row r="49" spans="2:16" ht="15" customHeight="1" x14ac:dyDescent="0.25">
      <c r="B49" s="43" t="s">
        <v>340</v>
      </c>
      <c r="C49" s="44">
        <v>46265</v>
      </c>
      <c r="D49" s="67" t="s">
        <v>10</v>
      </c>
      <c r="E49" s="29" t="s">
        <v>11</v>
      </c>
      <c r="F49" s="67" t="s">
        <v>46</v>
      </c>
      <c r="G49" s="67" t="s">
        <v>47</v>
      </c>
      <c r="H49" s="45">
        <v>1730</v>
      </c>
      <c r="I49" s="28" t="s">
        <v>48</v>
      </c>
      <c r="J49" s="28" t="s">
        <v>71</v>
      </c>
      <c r="K49" s="46">
        <f>_xlfn.XLOOKUP(tblScope1[[#This Row],[EF ID]],tblEF[EF ID],tblEF[Aggregated EF],"To check",0)</f>
        <v>1.9723110000000001</v>
      </c>
      <c r="L49" s="28" t="str">
        <f>_xlfn.XLOOKUP(tblScope1[[#This Row],[EF ID]],tblEF[EF ID],tblEF[Aggregated EF Unit],"To check",0)</f>
        <v>kg CO₂e/m³</v>
      </c>
      <c r="M49" s="68">
        <f t="shared" si="0"/>
        <v>3412.0980300000001</v>
      </c>
      <c r="N49" s="69">
        <f t="shared" si="1"/>
        <v>3.4120980300000001</v>
      </c>
      <c r="O49" s="29" t="s">
        <v>312</v>
      </c>
      <c r="P49" s="49" t="s">
        <v>50</v>
      </c>
    </row>
    <row r="50" spans="2:16" ht="15" customHeight="1" x14ac:dyDescent="0.25">
      <c r="B50" s="43" t="s">
        <v>341</v>
      </c>
      <c r="C50" s="44">
        <v>46295</v>
      </c>
      <c r="D50" s="67" t="s">
        <v>10</v>
      </c>
      <c r="E50" s="29" t="s">
        <v>11</v>
      </c>
      <c r="F50" s="67" t="s">
        <v>46</v>
      </c>
      <c r="G50" s="67" t="s">
        <v>47</v>
      </c>
      <c r="H50" s="45">
        <v>2050</v>
      </c>
      <c r="I50" s="28" t="s">
        <v>48</v>
      </c>
      <c r="J50" s="28" t="s">
        <v>71</v>
      </c>
      <c r="K50" s="46">
        <f>_xlfn.XLOOKUP(tblScope1[[#This Row],[EF ID]],tblEF[EF ID],tblEF[Aggregated EF],"To check",0)</f>
        <v>1.9723110000000001</v>
      </c>
      <c r="L50" s="28" t="str">
        <f>_xlfn.XLOOKUP(tblScope1[[#This Row],[EF ID]],tblEF[EF ID],tblEF[Aggregated EF Unit],"To check",0)</f>
        <v>kg CO₂e/m³</v>
      </c>
      <c r="M50" s="68">
        <f t="shared" si="0"/>
        <v>4043.2375500000003</v>
      </c>
      <c r="N50" s="69">
        <f t="shared" si="1"/>
        <v>4.0432375500000006</v>
      </c>
      <c r="O50" s="29" t="s">
        <v>313</v>
      </c>
      <c r="P50" s="49" t="s">
        <v>50</v>
      </c>
    </row>
    <row r="51" spans="2:16" ht="15" customHeight="1" x14ac:dyDescent="0.25">
      <c r="B51" s="43" t="s">
        <v>342</v>
      </c>
      <c r="C51" s="44">
        <v>46326</v>
      </c>
      <c r="D51" s="67" t="s">
        <v>10</v>
      </c>
      <c r="E51" s="29" t="s">
        <v>11</v>
      </c>
      <c r="F51" s="67" t="s">
        <v>46</v>
      </c>
      <c r="G51" s="67" t="s">
        <v>47</v>
      </c>
      <c r="H51" s="45">
        <v>6290</v>
      </c>
      <c r="I51" s="28" t="s">
        <v>48</v>
      </c>
      <c r="J51" s="28" t="s">
        <v>71</v>
      </c>
      <c r="K51" s="46">
        <f>_xlfn.XLOOKUP(tblScope1[[#This Row],[EF ID]],tblEF[EF ID],tblEF[Aggregated EF],"To check",0)</f>
        <v>1.9723110000000001</v>
      </c>
      <c r="L51" s="28" t="str">
        <f>_xlfn.XLOOKUP(tblScope1[[#This Row],[EF ID]],tblEF[EF ID],tblEF[Aggregated EF Unit],"To check",0)</f>
        <v>kg CO₂e/m³</v>
      </c>
      <c r="M51" s="68">
        <f t="shared" si="0"/>
        <v>12405.836190000002</v>
      </c>
      <c r="N51" s="69">
        <f t="shared" si="1"/>
        <v>12.405836190000002</v>
      </c>
      <c r="O51" s="29" t="s">
        <v>314</v>
      </c>
      <c r="P51" s="49" t="s">
        <v>50</v>
      </c>
    </row>
    <row r="52" spans="2:16" ht="15" customHeight="1" x14ac:dyDescent="0.25">
      <c r="B52" s="43" t="s">
        <v>343</v>
      </c>
      <c r="C52" s="44">
        <v>46356</v>
      </c>
      <c r="D52" s="67" t="s">
        <v>10</v>
      </c>
      <c r="E52" s="29" t="s">
        <v>11</v>
      </c>
      <c r="F52" s="67" t="s">
        <v>46</v>
      </c>
      <c r="G52" s="67" t="s">
        <v>47</v>
      </c>
      <c r="H52" s="45">
        <v>9720</v>
      </c>
      <c r="I52" s="28" t="s">
        <v>48</v>
      </c>
      <c r="J52" s="28" t="s">
        <v>71</v>
      </c>
      <c r="K52" s="46">
        <f>_xlfn.XLOOKUP(tblScope1[[#This Row],[EF ID]],tblEF[EF ID],tblEF[Aggregated EF],"To check",0)</f>
        <v>1.9723110000000001</v>
      </c>
      <c r="L52" s="28" t="str">
        <f>_xlfn.XLOOKUP(tblScope1[[#This Row],[EF ID]],tblEF[EF ID],tblEF[Aggregated EF Unit],"To check",0)</f>
        <v>kg CO₂e/m³</v>
      </c>
      <c r="M52" s="68">
        <f t="shared" si="0"/>
        <v>19170.862920000003</v>
      </c>
      <c r="N52" s="69">
        <f t="shared" si="1"/>
        <v>19.170862920000005</v>
      </c>
      <c r="O52" s="29" t="s">
        <v>315</v>
      </c>
      <c r="P52" s="49" t="s">
        <v>50</v>
      </c>
    </row>
    <row r="53" spans="2:16" ht="15" customHeight="1" x14ac:dyDescent="0.25">
      <c r="B53" s="43" t="s">
        <v>344</v>
      </c>
      <c r="C53" s="44">
        <v>46387</v>
      </c>
      <c r="D53" s="67" t="s">
        <v>10</v>
      </c>
      <c r="E53" s="29" t="s">
        <v>11</v>
      </c>
      <c r="F53" s="67" t="s">
        <v>46</v>
      </c>
      <c r="G53" s="67" t="s">
        <v>47</v>
      </c>
      <c r="H53" s="45">
        <v>12580</v>
      </c>
      <c r="I53" s="28" t="s">
        <v>48</v>
      </c>
      <c r="J53" s="28" t="s">
        <v>71</v>
      </c>
      <c r="K53" s="46">
        <f>_xlfn.XLOOKUP(tblScope1[[#This Row],[EF ID]],tblEF[EF ID],tblEF[Aggregated EF],"To check",0)</f>
        <v>1.9723110000000001</v>
      </c>
      <c r="L53" s="28" t="str">
        <f>_xlfn.XLOOKUP(tblScope1[[#This Row],[EF ID]],tblEF[EF ID],tblEF[Aggregated EF Unit],"To check",0)</f>
        <v>kg CO₂e/m³</v>
      </c>
      <c r="M53" s="68">
        <f t="shared" si="0"/>
        <v>24811.672380000004</v>
      </c>
      <c r="N53" s="69">
        <f t="shared" si="1"/>
        <v>24.811672380000005</v>
      </c>
      <c r="O53" s="29" t="s">
        <v>316</v>
      </c>
      <c r="P53" s="49" t="s">
        <v>50</v>
      </c>
    </row>
    <row r="54" spans="2:16" ht="15" customHeight="1" x14ac:dyDescent="0.25">
      <c r="B54" s="43" t="s">
        <v>345</v>
      </c>
      <c r="C54" s="44">
        <v>46053</v>
      </c>
      <c r="D54" s="67" t="s">
        <v>10</v>
      </c>
      <c r="E54" s="29" t="s">
        <v>11</v>
      </c>
      <c r="F54" s="67" t="s">
        <v>55</v>
      </c>
      <c r="G54" s="67" t="s">
        <v>56</v>
      </c>
      <c r="H54" s="45">
        <v>2160</v>
      </c>
      <c r="I54" s="28" t="s">
        <v>57</v>
      </c>
      <c r="J54" s="28" t="s">
        <v>58</v>
      </c>
      <c r="K54" s="46">
        <f>_xlfn.XLOOKUP(tblScope1[[#This Row],[EF ID]],tblEF[EF ID],tblEF[Aggregated EF],"To check",0)</f>
        <v>2.3151000000000002</v>
      </c>
      <c r="L54" s="28" t="str">
        <f>_xlfn.XLOOKUP(tblScope1[[#This Row],[EF ID]],tblEF[EF ID],tblEF[Aggregated EF Unit],"To check",0)</f>
        <v>kg CO₂e/L</v>
      </c>
      <c r="M54" s="68">
        <f t="shared" si="0"/>
        <v>5000.616</v>
      </c>
      <c r="N54" s="69">
        <f t="shared" si="1"/>
        <v>5.0006159999999999</v>
      </c>
      <c r="O54" s="29" t="s">
        <v>317</v>
      </c>
      <c r="P54" s="49" t="s">
        <v>59</v>
      </c>
    </row>
    <row r="55" spans="2:16" ht="15" customHeight="1" x14ac:dyDescent="0.25">
      <c r="B55" s="43" t="s">
        <v>346</v>
      </c>
      <c r="C55" s="44">
        <v>46081</v>
      </c>
      <c r="D55" s="67" t="s">
        <v>10</v>
      </c>
      <c r="E55" s="29" t="s">
        <v>11</v>
      </c>
      <c r="F55" s="67" t="s">
        <v>55</v>
      </c>
      <c r="G55" s="67" t="s">
        <v>56</v>
      </c>
      <c r="H55" s="45">
        <v>2090</v>
      </c>
      <c r="I55" s="28" t="s">
        <v>57</v>
      </c>
      <c r="J55" s="28" t="s">
        <v>58</v>
      </c>
      <c r="K55" s="46">
        <f>_xlfn.XLOOKUP(tblScope1[[#This Row],[EF ID]],tblEF[EF ID],tblEF[Aggregated EF],"To check",0)</f>
        <v>2.3151000000000002</v>
      </c>
      <c r="L55" s="28" t="str">
        <f>_xlfn.XLOOKUP(tblScope1[[#This Row],[EF ID]],tblEF[EF ID],tblEF[Aggregated EF Unit],"To check",0)</f>
        <v>kg CO₂e/L</v>
      </c>
      <c r="M55" s="68">
        <f t="shared" si="0"/>
        <v>4838.5590000000002</v>
      </c>
      <c r="N55" s="69">
        <f t="shared" si="1"/>
        <v>4.8385590000000001</v>
      </c>
      <c r="O55" s="29" t="s">
        <v>318</v>
      </c>
      <c r="P55" s="49" t="s">
        <v>59</v>
      </c>
    </row>
    <row r="56" spans="2:16" ht="15" customHeight="1" x14ac:dyDescent="0.25">
      <c r="B56" s="43" t="s">
        <v>347</v>
      </c>
      <c r="C56" s="44">
        <v>46112</v>
      </c>
      <c r="D56" s="67" t="s">
        <v>10</v>
      </c>
      <c r="E56" s="29" t="s">
        <v>11</v>
      </c>
      <c r="F56" s="67" t="s">
        <v>55</v>
      </c>
      <c r="G56" s="67" t="s">
        <v>56</v>
      </c>
      <c r="H56" s="45">
        <v>2090</v>
      </c>
      <c r="I56" s="28" t="s">
        <v>57</v>
      </c>
      <c r="J56" s="28" t="s">
        <v>58</v>
      </c>
      <c r="K56" s="46">
        <f>_xlfn.XLOOKUP(tblScope1[[#This Row],[EF ID]],tblEF[EF ID],tblEF[Aggregated EF],"To check",0)</f>
        <v>2.3151000000000002</v>
      </c>
      <c r="L56" s="28" t="str">
        <f>_xlfn.XLOOKUP(tblScope1[[#This Row],[EF ID]],tblEF[EF ID],tblEF[Aggregated EF Unit],"To check",0)</f>
        <v>kg CO₂e/L</v>
      </c>
      <c r="M56" s="68">
        <f t="shared" si="0"/>
        <v>4838.5590000000002</v>
      </c>
      <c r="N56" s="69">
        <f t="shared" si="1"/>
        <v>4.8385590000000001</v>
      </c>
      <c r="O56" s="29" t="s">
        <v>319</v>
      </c>
      <c r="P56" s="49" t="s">
        <v>59</v>
      </c>
    </row>
    <row r="57" spans="2:16" ht="15" customHeight="1" x14ac:dyDescent="0.25">
      <c r="B57" s="43" t="s">
        <v>348</v>
      </c>
      <c r="C57" s="44">
        <v>46142</v>
      </c>
      <c r="D57" s="67" t="s">
        <v>10</v>
      </c>
      <c r="E57" s="29" t="s">
        <v>11</v>
      </c>
      <c r="F57" s="67" t="s">
        <v>55</v>
      </c>
      <c r="G57" s="67" t="s">
        <v>56</v>
      </c>
      <c r="H57" s="45">
        <v>2170</v>
      </c>
      <c r="I57" s="28" t="s">
        <v>57</v>
      </c>
      <c r="J57" s="28" t="s">
        <v>58</v>
      </c>
      <c r="K57" s="46">
        <f>_xlfn.XLOOKUP(tblScope1[[#This Row],[EF ID]],tblEF[EF ID],tblEF[Aggregated EF],"To check",0)</f>
        <v>2.3151000000000002</v>
      </c>
      <c r="L57" s="28" t="str">
        <f>_xlfn.XLOOKUP(tblScope1[[#This Row],[EF ID]],tblEF[EF ID],tblEF[Aggregated EF Unit],"To check",0)</f>
        <v>kg CO₂e/L</v>
      </c>
      <c r="M57" s="68">
        <f t="shared" si="0"/>
        <v>5023.7670000000007</v>
      </c>
      <c r="N57" s="69">
        <f t="shared" si="1"/>
        <v>5.0237670000000003</v>
      </c>
      <c r="O57" s="29" t="s">
        <v>320</v>
      </c>
      <c r="P57" s="49" t="s">
        <v>59</v>
      </c>
    </row>
    <row r="58" spans="2:16" ht="15" customHeight="1" x14ac:dyDescent="0.25">
      <c r="B58" s="43" t="s">
        <v>349</v>
      </c>
      <c r="C58" s="44">
        <v>46173</v>
      </c>
      <c r="D58" s="67" t="s">
        <v>10</v>
      </c>
      <c r="E58" s="29" t="s">
        <v>11</v>
      </c>
      <c r="F58" s="67" t="s">
        <v>55</v>
      </c>
      <c r="G58" s="67" t="s">
        <v>56</v>
      </c>
      <c r="H58" s="45">
        <v>2310</v>
      </c>
      <c r="I58" s="28" t="s">
        <v>57</v>
      </c>
      <c r="J58" s="28" t="s">
        <v>58</v>
      </c>
      <c r="K58" s="46">
        <f>_xlfn.XLOOKUP(tblScope1[[#This Row],[EF ID]],tblEF[EF ID],tblEF[Aggregated EF],"To check",0)</f>
        <v>2.3151000000000002</v>
      </c>
      <c r="L58" s="28" t="str">
        <f>_xlfn.XLOOKUP(tblScope1[[#This Row],[EF ID]],tblEF[EF ID],tblEF[Aggregated EF Unit],"To check",0)</f>
        <v>kg CO₂e/L</v>
      </c>
      <c r="M58" s="68">
        <f t="shared" si="0"/>
        <v>5347.8810000000003</v>
      </c>
      <c r="N58" s="69">
        <f t="shared" si="1"/>
        <v>5.3478810000000001</v>
      </c>
      <c r="O58" s="29" t="s">
        <v>321</v>
      </c>
      <c r="P58" s="49" t="s">
        <v>59</v>
      </c>
    </row>
    <row r="59" spans="2:16" ht="15" customHeight="1" x14ac:dyDescent="0.25">
      <c r="B59" s="43" t="s">
        <v>350</v>
      </c>
      <c r="C59" s="44">
        <v>46203</v>
      </c>
      <c r="D59" s="67" t="s">
        <v>10</v>
      </c>
      <c r="E59" s="29" t="s">
        <v>11</v>
      </c>
      <c r="F59" s="67" t="s">
        <v>55</v>
      </c>
      <c r="G59" s="67" t="s">
        <v>56</v>
      </c>
      <c r="H59" s="45">
        <v>2310</v>
      </c>
      <c r="I59" s="28" t="s">
        <v>57</v>
      </c>
      <c r="J59" s="28" t="s">
        <v>58</v>
      </c>
      <c r="K59" s="46">
        <f>_xlfn.XLOOKUP(tblScope1[[#This Row],[EF ID]],tblEF[EF ID],tblEF[Aggregated EF],"To check",0)</f>
        <v>2.3151000000000002</v>
      </c>
      <c r="L59" s="28" t="str">
        <f>_xlfn.XLOOKUP(tblScope1[[#This Row],[EF ID]],tblEF[EF ID],tblEF[Aggregated EF Unit],"To check",0)</f>
        <v>kg CO₂e/L</v>
      </c>
      <c r="M59" s="68">
        <f t="shared" si="0"/>
        <v>5347.8810000000003</v>
      </c>
      <c r="N59" s="69">
        <f t="shared" si="1"/>
        <v>5.3478810000000001</v>
      </c>
      <c r="O59" s="29" t="s">
        <v>322</v>
      </c>
      <c r="P59" s="49" t="s">
        <v>59</v>
      </c>
    </row>
    <row r="60" spans="2:16" ht="15" customHeight="1" x14ac:dyDescent="0.25">
      <c r="B60" s="43" t="s">
        <v>351</v>
      </c>
      <c r="C60" s="44">
        <v>46234</v>
      </c>
      <c r="D60" s="67" t="s">
        <v>10</v>
      </c>
      <c r="E60" s="29" t="s">
        <v>11</v>
      </c>
      <c r="F60" s="67" t="s">
        <v>55</v>
      </c>
      <c r="G60" s="67" t="s">
        <v>56</v>
      </c>
      <c r="H60" s="45">
        <v>2360</v>
      </c>
      <c r="I60" s="28" t="s">
        <v>57</v>
      </c>
      <c r="J60" s="28" t="s">
        <v>58</v>
      </c>
      <c r="K60" s="46">
        <f>_xlfn.XLOOKUP(tblScope1[[#This Row],[EF ID]],tblEF[EF ID],tblEF[Aggregated EF],"To check",0)</f>
        <v>2.3151000000000002</v>
      </c>
      <c r="L60" s="28" t="str">
        <f>_xlfn.XLOOKUP(tblScope1[[#This Row],[EF ID]],tblEF[EF ID],tblEF[Aggregated EF Unit],"To check",0)</f>
        <v>kg CO₂e/L</v>
      </c>
      <c r="M60" s="68">
        <f t="shared" si="0"/>
        <v>5463.6360000000004</v>
      </c>
      <c r="N60" s="69">
        <f t="shared" si="1"/>
        <v>5.4636360000000002</v>
      </c>
      <c r="O60" s="29" t="s">
        <v>323</v>
      </c>
      <c r="P60" s="49" t="s">
        <v>59</v>
      </c>
    </row>
    <row r="61" spans="2:16" ht="15" customHeight="1" x14ac:dyDescent="0.25">
      <c r="B61" s="43" t="s">
        <v>352</v>
      </c>
      <c r="C61" s="44">
        <v>46265</v>
      </c>
      <c r="D61" s="67" t="s">
        <v>10</v>
      </c>
      <c r="E61" s="29" t="s">
        <v>11</v>
      </c>
      <c r="F61" s="67" t="s">
        <v>55</v>
      </c>
      <c r="G61" s="67" t="s">
        <v>56</v>
      </c>
      <c r="H61" s="45">
        <v>2430</v>
      </c>
      <c r="I61" s="28" t="s">
        <v>57</v>
      </c>
      <c r="J61" s="28" t="s">
        <v>58</v>
      </c>
      <c r="K61" s="46">
        <f>_xlfn.XLOOKUP(tblScope1[[#This Row],[EF ID]],tblEF[EF ID],tblEF[Aggregated EF],"To check",0)</f>
        <v>2.3151000000000002</v>
      </c>
      <c r="L61" s="28" t="str">
        <f>_xlfn.XLOOKUP(tblScope1[[#This Row],[EF ID]],tblEF[EF ID],tblEF[Aggregated EF Unit],"To check",0)</f>
        <v>kg CO₂e/L</v>
      </c>
      <c r="M61" s="68">
        <f t="shared" si="0"/>
        <v>5625.6930000000002</v>
      </c>
      <c r="N61" s="69">
        <f t="shared" si="1"/>
        <v>5.6256930000000001</v>
      </c>
      <c r="O61" s="29" t="s">
        <v>324</v>
      </c>
      <c r="P61" s="49" t="s">
        <v>59</v>
      </c>
    </row>
    <row r="62" spans="2:16" ht="15" customHeight="1" x14ac:dyDescent="0.25">
      <c r="B62" s="43" t="s">
        <v>353</v>
      </c>
      <c r="C62" s="44">
        <v>46295</v>
      </c>
      <c r="D62" s="67" t="s">
        <v>10</v>
      </c>
      <c r="E62" s="29" t="s">
        <v>11</v>
      </c>
      <c r="F62" s="67" t="s">
        <v>55</v>
      </c>
      <c r="G62" s="67" t="s">
        <v>56</v>
      </c>
      <c r="H62" s="45">
        <v>2360</v>
      </c>
      <c r="I62" s="28" t="s">
        <v>57</v>
      </c>
      <c r="J62" s="28" t="s">
        <v>58</v>
      </c>
      <c r="K62" s="46">
        <f>_xlfn.XLOOKUP(tblScope1[[#This Row],[EF ID]],tblEF[EF ID],tblEF[Aggregated EF],"To check",0)</f>
        <v>2.3151000000000002</v>
      </c>
      <c r="L62" s="28" t="str">
        <f>_xlfn.XLOOKUP(tblScope1[[#This Row],[EF ID]],tblEF[EF ID],tblEF[Aggregated EF Unit],"To check",0)</f>
        <v>kg CO₂e/L</v>
      </c>
      <c r="M62" s="68">
        <f t="shared" si="0"/>
        <v>5463.6360000000004</v>
      </c>
      <c r="N62" s="69">
        <f t="shared" si="1"/>
        <v>5.4636360000000002</v>
      </c>
      <c r="O62" s="29" t="s">
        <v>325</v>
      </c>
      <c r="P62" s="49" t="s">
        <v>59</v>
      </c>
    </row>
    <row r="63" spans="2:16" ht="15" customHeight="1" x14ac:dyDescent="0.25">
      <c r="B63" s="43" t="s">
        <v>354</v>
      </c>
      <c r="C63" s="44">
        <v>46326</v>
      </c>
      <c r="D63" s="67" t="s">
        <v>10</v>
      </c>
      <c r="E63" s="29" t="s">
        <v>11</v>
      </c>
      <c r="F63" s="67" t="s">
        <v>55</v>
      </c>
      <c r="G63" s="67" t="s">
        <v>56</v>
      </c>
      <c r="H63" s="45">
        <v>2180</v>
      </c>
      <c r="I63" s="28" t="s">
        <v>57</v>
      </c>
      <c r="J63" s="28" t="s">
        <v>58</v>
      </c>
      <c r="K63" s="46">
        <f>_xlfn.XLOOKUP(tblScope1[[#This Row],[EF ID]],tblEF[EF ID],tblEF[Aggregated EF],"To check",0)</f>
        <v>2.3151000000000002</v>
      </c>
      <c r="L63" s="28" t="str">
        <f>_xlfn.XLOOKUP(tblScope1[[#This Row],[EF ID]],tblEF[EF ID],tblEF[Aggregated EF Unit],"To check",0)</f>
        <v>kg CO₂e/L</v>
      </c>
      <c r="M63" s="68">
        <f t="shared" si="0"/>
        <v>5046.9180000000006</v>
      </c>
      <c r="N63" s="69">
        <f t="shared" si="1"/>
        <v>5.0469180000000007</v>
      </c>
      <c r="O63" s="29" t="s">
        <v>326</v>
      </c>
      <c r="P63" s="49" t="s">
        <v>59</v>
      </c>
    </row>
    <row r="64" spans="2:16" ht="15" customHeight="1" x14ac:dyDescent="0.25">
      <c r="B64" s="43" t="s">
        <v>355</v>
      </c>
      <c r="C64" s="44">
        <v>46356</v>
      </c>
      <c r="D64" s="67" t="s">
        <v>10</v>
      </c>
      <c r="E64" s="29" t="s">
        <v>11</v>
      </c>
      <c r="F64" s="67" t="s">
        <v>55</v>
      </c>
      <c r="G64" s="67" t="s">
        <v>56</v>
      </c>
      <c r="H64" s="45">
        <v>2120</v>
      </c>
      <c r="I64" s="28" t="s">
        <v>57</v>
      </c>
      <c r="J64" s="28" t="s">
        <v>58</v>
      </c>
      <c r="K64" s="46">
        <f>_xlfn.XLOOKUP(tblScope1[[#This Row],[EF ID]],tblEF[EF ID],tblEF[Aggregated EF],"To check",0)</f>
        <v>2.3151000000000002</v>
      </c>
      <c r="L64" s="28" t="str">
        <f>_xlfn.XLOOKUP(tblScope1[[#This Row],[EF ID]],tblEF[EF ID],tblEF[Aggregated EF Unit],"To check",0)</f>
        <v>kg CO₂e/L</v>
      </c>
      <c r="M64" s="68">
        <f t="shared" si="0"/>
        <v>4908.0120000000006</v>
      </c>
      <c r="N64" s="69">
        <f t="shared" si="1"/>
        <v>4.9080120000000003</v>
      </c>
      <c r="O64" s="29" t="s">
        <v>327</v>
      </c>
      <c r="P64" s="49" t="s">
        <v>59</v>
      </c>
    </row>
    <row r="65" spans="2:16" ht="15" customHeight="1" x14ac:dyDescent="0.25">
      <c r="B65" s="43" t="s">
        <v>356</v>
      </c>
      <c r="C65" s="44">
        <v>46387</v>
      </c>
      <c r="D65" s="67" t="s">
        <v>10</v>
      </c>
      <c r="E65" s="29" t="s">
        <v>11</v>
      </c>
      <c r="F65" s="67" t="s">
        <v>55</v>
      </c>
      <c r="G65" s="67" t="s">
        <v>56</v>
      </c>
      <c r="H65" s="45">
        <v>2120</v>
      </c>
      <c r="I65" s="28" t="s">
        <v>57</v>
      </c>
      <c r="J65" s="28" t="s">
        <v>58</v>
      </c>
      <c r="K65" s="46">
        <f>_xlfn.XLOOKUP(tblScope1[[#This Row],[EF ID]],tblEF[EF ID],tblEF[Aggregated EF],"To check",0)</f>
        <v>2.3151000000000002</v>
      </c>
      <c r="L65" s="28" t="str">
        <f>_xlfn.XLOOKUP(tblScope1[[#This Row],[EF ID]],tblEF[EF ID],tblEF[Aggregated EF Unit],"To check",0)</f>
        <v>kg CO₂e/L</v>
      </c>
      <c r="M65" s="68">
        <f t="shared" si="0"/>
        <v>4908.0120000000006</v>
      </c>
      <c r="N65" s="69">
        <f t="shared" si="1"/>
        <v>4.9080120000000003</v>
      </c>
      <c r="O65" s="29" t="s">
        <v>328</v>
      </c>
      <c r="P65" s="49" t="s">
        <v>59</v>
      </c>
    </row>
    <row r="66" spans="2:16" ht="15" customHeight="1" x14ac:dyDescent="0.25">
      <c r="B66" s="43" t="s">
        <v>357</v>
      </c>
      <c r="C66" s="44">
        <v>46053</v>
      </c>
      <c r="D66" s="67" t="s">
        <v>10</v>
      </c>
      <c r="E66" s="29" t="s">
        <v>11</v>
      </c>
      <c r="F66" s="67" t="s">
        <v>55</v>
      </c>
      <c r="G66" s="67" t="s">
        <v>64</v>
      </c>
      <c r="H66" s="45">
        <v>1570</v>
      </c>
      <c r="I66" s="28" t="s">
        <v>57</v>
      </c>
      <c r="J66" s="28" t="s">
        <v>65</v>
      </c>
      <c r="K66" s="46">
        <f>_xlfn.XLOOKUP(tblScope1[[#This Row],[EF ID]],tblEF[EF ID],tblEF[Aggregated EF],"To check",0)</f>
        <v>2.6890140000000002</v>
      </c>
      <c r="L66" s="28" t="str">
        <f>_xlfn.XLOOKUP(tblScope1[[#This Row],[EF ID]],tblEF[EF ID],tblEF[Aggregated EF Unit],"To check",0)</f>
        <v>kg CO₂e/L</v>
      </c>
      <c r="M66" s="68">
        <f t="shared" si="0"/>
        <v>4221.75198</v>
      </c>
      <c r="N66" s="69">
        <f t="shared" si="1"/>
        <v>4.2217519799999996</v>
      </c>
      <c r="O66" s="29" t="s">
        <v>317</v>
      </c>
      <c r="P66" s="49" t="s">
        <v>80</v>
      </c>
    </row>
    <row r="67" spans="2:16" ht="15" customHeight="1" x14ac:dyDescent="0.25">
      <c r="B67" s="43" t="s">
        <v>358</v>
      </c>
      <c r="C67" s="44">
        <v>46081</v>
      </c>
      <c r="D67" s="67" t="s">
        <v>10</v>
      </c>
      <c r="E67" s="29" t="s">
        <v>11</v>
      </c>
      <c r="F67" s="67" t="s">
        <v>55</v>
      </c>
      <c r="G67" s="67" t="s">
        <v>64</v>
      </c>
      <c r="H67" s="45">
        <v>1520</v>
      </c>
      <c r="I67" s="28" t="s">
        <v>57</v>
      </c>
      <c r="J67" s="28" t="s">
        <v>65</v>
      </c>
      <c r="K67" s="46">
        <f>_xlfn.XLOOKUP(tblScope1[[#This Row],[EF ID]],tblEF[EF ID],tblEF[Aggregated EF],"To check",0)</f>
        <v>2.6890140000000002</v>
      </c>
      <c r="L67" s="28" t="str">
        <f>_xlfn.XLOOKUP(tblScope1[[#This Row],[EF ID]],tblEF[EF ID],tblEF[Aggregated EF Unit],"To check",0)</f>
        <v>kg CO₂e/L</v>
      </c>
      <c r="M67" s="68">
        <f t="shared" si="0"/>
        <v>4087.3012800000006</v>
      </c>
      <c r="N67" s="69">
        <f t="shared" si="1"/>
        <v>4.0873012800000001</v>
      </c>
      <c r="O67" s="29" t="s">
        <v>318</v>
      </c>
      <c r="P67" s="49" t="s">
        <v>80</v>
      </c>
    </row>
    <row r="68" spans="2:16" ht="15" customHeight="1" x14ac:dyDescent="0.25">
      <c r="B68" s="43" t="s">
        <v>359</v>
      </c>
      <c r="C68" s="44">
        <v>46112</v>
      </c>
      <c r="D68" s="67" t="s">
        <v>10</v>
      </c>
      <c r="E68" s="29" t="s">
        <v>11</v>
      </c>
      <c r="F68" s="67" t="s">
        <v>55</v>
      </c>
      <c r="G68" s="67" t="s">
        <v>64</v>
      </c>
      <c r="H68" s="45">
        <v>1520</v>
      </c>
      <c r="I68" s="28" t="s">
        <v>57</v>
      </c>
      <c r="J68" s="28" t="s">
        <v>65</v>
      </c>
      <c r="K68" s="46">
        <f>_xlfn.XLOOKUP(tblScope1[[#This Row],[EF ID]],tblEF[EF ID],tblEF[Aggregated EF],"To check",0)</f>
        <v>2.6890140000000002</v>
      </c>
      <c r="L68" s="28" t="str">
        <f>_xlfn.XLOOKUP(tblScope1[[#This Row],[EF ID]],tblEF[EF ID],tblEF[Aggregated EF Unit],"To check",0)</f>
        <v>kg CO₂e/L</v>
      </c>
      <c r="M68" s="68">
        <f t="shared" si="0"/>
        <v>4087.3012800000006</v>
      </c>
      <c r="N68" s="69">
        <f t="shared" si="1"/>
        <v>4.0873012800000001</v>
      </c>
      <c r="O68" s="29" t="s">
        <v>319</v>
      </c>
      <c r="P68" s="49" t="s">
        <v>80</v>
      </c>
    </row>
    <row r="69" spans="2:16" ht="15" customHeight="1" x14ac:dyDescent="0.25">
      <c r="B69" s="43" t="s">
        <v>360</v>
      </c>
      <c r="C69" s="44">
        <v>46142</v>
      </c>
      <c r="D69" s="67" t="s">
        <v>10</v>
      </c>
      <c r="E69" s="29" t="s">
        <v>11</v>
      </c>
      <c r="F69" s="67" t="s">
        <v>55</v>
      </c>
      <c r="G69" s="67" t="s">
        <v>64</v>
      </c>
      <c r="H69" s="45">
        <v>1590</v>
      </c>
      <c r="I69" s="28" t="s">
        <v>57</v>
      </c>
      <c r="J69" s="28" t="s">
        <v>65</v>
      </c>
      <c r="K69" s="46">
        <f>_xlfn.XLOOKUP(tblScope1[[#This Row],[EF ID]],tblEF[EF ID],tblEF[Aggregated EF],"To check",0)</f>
        <v>2.6890140000000002</v>
      </c>
      <c r="L69" s="28" t="str">
        <f>_xlfn.XLOOKUP(tblScope1[[#This Row],[EF ID]],tblEF[EF ID],tblEF[Aggregated EF Unit],"To check",0)</f>
        <v>kg CO₂e/L</v>
      </c>
      <c r="M69" s="68">
        <f t="shared" si="0"/>
        <v>4275.53226</v>
      </c>
      <c r="N69" s="69">
        <f t="shared" si="1"/>
        <v>4.2755322600000003</v>
      </c>
      <c r="O69" s="29" t="s">
        <v>320</v>
      </c>
      <c r="P69" s="49" t="s">
        <v>80</v>
      </c>
    </row>
    <row r="70" spans="2:16" ht="15" customHeight="1" x14ac:dyDescent="0.25">
      <c r="B70" s="43" t="s">
        <v>361</v>
      </c>
      <c r="C70" s="44">
        <v>46173</v>
      </c>
      <c r="D70" s="67" t="s">
        <v>10</v>
      </c>
      <c r="E70" s="29" t="s">
        <v>11</v>
      </c>
      <c r="F70" s="67" t="s">
        <v>55</v>
      </c>
      <c r="G70" s="67" t="s">
        <v>64</v>
      </c>
      <c r="H70" s="45">
        <v>1690</v>
      </c>
      <c r="I70" s="28" t="s">
        <v>57</v>
      </c>
      <c r="J70" s="28" t="s">
        <v>65</v>
      </c>
      <c r="K70" s="46">
        <f>_xlfn.XLOOKUP(tblScope1[[#This Row],[EF ID]],tblEF[EF ID],tblEF[Aggregated EF],"To check",0)</f>
        <v>2.6890140000000002</v>
      </c>
      <c r="L70" s="28" t="str">
        <f>_xlfn.XLOOKUP(tblScope1[[#This Row],[EF ID]],tblEF[EF ID],tblEF[Aggregated EF Unit],"To check",0)</f>
        <v>kg CO₂e/L</v>
      </c>
      <c r="M70" s="68">
        <f t="shared" si="0"/>
        <v>4544.4336600000006</v>
      </c>
      <c r="N70" s="69">
        <f t="shared" si="1"/>
        <v>4.544433660000001</v>
      </c>
      <c r="O70" s="29" t="s">
        <v>321</v>
      </c>
      <c r="P70" s="49" t="s">
        <v>80</v>
      </c>
    </row>
    <row r="71" spans="2:16" ht="15" customHeight="1" x14ac:dyDescent="0.25">
      <c r="B71" s="43" t="s">
        <v>362</v>
      </c>
      <c r="C71" s="44">
        <v>46203</v>
      </c>
      <c r="D71" s="67" t="s">
        <v>10</v>
      </c>
      <c r="E71" s="29" t="s">
        <v>11</v>
      </c>
      <c r="F71" s="67" t="s">
        <v>55</v>
      </c>
      <c r="G71" s="67" t="s">
        <v>64</v>
      </c>
      <c r="H71" s="45">
        <v>1690</v>
      </c>
      <c r="I71" s="28" t="s">
        <v>57</v>
      </c>
      <c r="J71" s="28" t="s">
        <v>65</v>
      </c>
      <c r="K71" s="46">
        <f>_xlfn.XLOOKUP(tblScope1[[#This Row],[EF ID]],tblEF[EF ID],tblEF[Aggregated EF],"To check",0)</f>
        <v>2.6890140000000002</v>
      </c>
      <c r="L71" s="28" t="str">
        <f>_xlfn.XLOOKUP(tblScope1[[#This Row],[EF ID]],tblEF[EF ID],tblEF[Aggregated EF Unit],"To check",0)</f>
        <v>kg CO₂e/L</v>
      </c>
      <c r="M71" s="68">
        <f t="shared" ref="M71:M101" si="2">IF(ISNUMBER($K71),$H71*$K71,"Check EF ID")</f>
        <v>4544.4336600000006</v>
      </c>
      <c r="N71" s="69">
        <f t="shared" ref="N71:N101" si="3">IF(ISNUMBER($M71),$M71/1000,"Check EF ID")</f>
        <v>4.544433660000001</v>
      </c>
      <c r="O71" s="29" t="s">
        <v>322</v>
      </c>
      <c r="P71" s="49" t="s">
        <v>80</v>
      </c>
    </row>
    <row r="72" spans="2:16" ht="15" customHeight="1" x14ac:dyDescent="0.25">
      <c r="B72" s="43" t="s">
        <v>363</v>
      </c>
      <c r="C72" s="44">
        <v>46234</v>
      </c>
      <c r="D72" s="67" t="s">
        <v>10</v>
      </c>
      <c r="E72" s="29" t="s">
        <v>11</v>
      </c>
      <c r="F72" s="67" t="s">
        <v>55</v>
      </c>
      <c r="G72" s="67" t="s">
        <v>64</v>
      </c>
      <c r="H72" s="45">
        <v>1730</v>
      </c>
      <c r="I72" s="28" t="s">
        <v>57</v>
      </c>
      <c r="J72" s="28" t="s">
        <v>65</v>
      </c>
      <c r="K72" s="46">
        <f>_xlfn.XLOOKUP(tblScope1[[#This Row],[EF ID]],tblEF[EF ID],tblEF[Aggregated EF],"To check",0)</f>
        <v>2.6890140000000002</v>
      </c>
      <c r="L72" s="28" t="str">
        <f>_xlfn.XLOOKUP(tblScope1[[#This Row],[EF ID]],tblEF[EF ID],tblEF[Aggregated EF Unit],"To check",0)</f>
        <v>kg CO₂e/L</v>
      </c>
      <c r="M72" s="68">
        <f t="shared" si="2"/>
        <v>4651.9942200000005</v>
      </c>
      <c r="N72" s="69">
        <f t="shared" si="3"/>
        <v>4.6519942200000006</v>
      </c>
      <c r="O72" s="29" t="s">
        <v>323</v>
      </c>
      <c r="P72" s="49" t="s">
        <v>80</v>
      </c>
    </row>
    <row r="73" spans="2:16" ht="15" customHeight="1" x14ac:dyDescent="0.25">
      <c r="B73" s="43" t="s">
        <v>364</v>
      </c>
      <c r="C73" s="44">
        <v>46265</v>
      </c>
      <c r="D73" s="67" t="s">
        <v>10</v>
      </c>
      <c r="E73" s="29" t="s">
        <v>11</v>
      </c>
      <c r="F73" s="67" t="s">
        <v>55</v>
      </c>
      <c r="G73" s="67" t="s">
        <v>64</v>
      </c>
      <c r="H73" s="45">
        <v>1780</v>
      </c>
      <c r="I73" s="28" t="s">
        <v>57</v>
      </c>
      <c r="J73" s="28" t="s">
        <v>65</v>
      </c>
      <c r="K73" s="46">
        <f>_xlfn.XLOOKUP(tblScope1[[#This Row],[EF ID]],tblEF[EF ID],tblEF[Aggregated EF],"To check",0)</f>
        <v>2.6890140000000002</v>
      </c>
      <c r="L73" s="28" t="str">
        <f>_xlfn.XLOOKUP(tblScope1[[#This Row],[EF ID]],tblEF[EF ID],tblEF[Aggregated EF Unit],"To check",0)</f>
        <v>kg CO₂e/L</v>
      </c>
      <c r="M73" s="68">
        <f t="shared" si="2"/>
        <v>4786.4449200000008</v>
      </c>
      <c r="N73" s="69">
        <f t="shared" si="3"/>
        <v>4.786444920000001</v>
      </c>
      <c r="O73" s="29" t="s">
        <v>324</v>
      </c>
      <c r="P73" s="49" t="s">
        <v>80</v>
      </c>
    </row>
    <row r="74" spans="2:16" ht="15" customHeight="1" x14ac:dyDescent="0.25">
      <c r="B74" s="43" t="s">
        <v>365</v>
      </c>
      <c r="C74" s="44">
        <v>46295</v>
      </c>
      <c r="D74" s="67" t="s">
        <v>10</v>
      </c>
      <c r="E74" s="29" t="s">
        <v>11</v>
      </c>
      <c r="F74" s="67" t="s">
        <v>55</v>
      </c>
      <c r="G74" s="67" t="s">
        <v>64</v>
      </c>
      <c r="H74" s="45">
        <v>1730</v>
      </c>
      <c r="I74" s="28" t="s">
        <v>57</v>
      </c>
      <c r="J74" s="28" t="s">
        <v>65</v>
      </c>
      <c r="K74" s="46">
        <f>_xlfn.XLOOKUP(tblScope1[[#This Row],[EF ID]],tblEF[EF ID],tblEF[Aggregated EF],"To check",0)</f>
        <v>2.6890140000000002</v>
      </c>
      <c r="L74" s="28" t="str">
        <f>_xlfn.XLOOKUP(tblScope1[[#This Row],[EF ID]],tblEF[EF ID],tblEF[Aggregated EF Unit],"To check",0)</f>
        <v>kg CO₂e/L</v>
      </c>
      <c r="M74" s="68">
        <f t="shared" si="2"/>
        <v>4651.9942200000005</v>
      </c>
      <c r="N74" s="69">
        <f t="shared" si="3"/>
        <v>4.6519942200000006</v>
      </c>
      <c r="O74" s="29" t="s">
        <v>325</v>
      </c>
      <c r="P74" s="49" t="s">
        <v>80</v>
      </c>
    </row>
    <row r="75" spans="2:16" ht="15" customHeight="1" x14ac:dyDescent="0.25">
      <c r="B75" s="43" t="s">
        <v>366</v>
      </c>
      <c r="C75" s="44">
        <v>46326</v>
      </c>
      <c r="D75" s="67" t="s">
        <v>10</v>
      </c>
      <c r="E75" s="29" t="s">
        <v>11</v>
      </c>
      <c r="F75" s="67" t="s">
        <v>55</v>
      </c>
      <c r="G75" s="67" t="s">
        <v>64</v>
      </c>
      <c r="H75" s="45">
        <v>1530</v>
      </c>
      <c r="I75" s="28" t="s">
        <v>57</v>
      </c>
      <c r="J75" s="28" t="s">
        <v>65</v>
      </c>
      <c r="K75" s="46">
        <f>_xlfn.XLOOKUP(tblScope1[[#This Row],[EF ID]],tblEF[EF ID],tblEF[Aggregated EF],"To check",0)</f>
        <v>2.6890140000000002</v>
      </c>
      <c r="L75" s="28" t="str">
        <f>_xlfn.XLOOKUP(tblScope1[[#This Row],[EF ID]],tblEF[EF ID],tblEF[Aggregated EF Unit],"To check",0)</f>
        <v>kg CO₂e/L</v>
      </c>
      <c r="M75" s="68">
        <f t="shared" si="2"/>
        <v>4114.1914200000001</v>
      </c>
      <c r="N75" s="69">
        <f t="shared" si="3"/>
        <v>4.11419142</v>
      </c>
      <c r="O75" s="29" t="s">
        <v>326</v>
      </c>
      <c r="P75" s="49" t="s">
        <v>80</v>
      </c>
    </row>
    <row r="76" spans="2:16" ht="15" customHeight="1" x14ac:dyDescent="0.25">
      <c r="B76" s="43" t="s">
        <v>367</v>
      </c>
      <c r="C76" s="44">
        <v>46356</v>
      </c>
      <c r="D76" s="67" t="s">
        <v>10</v>
      </c>
      <c r="E76" s="29" t="s">
        <v>11</v>
      </c>
      <c r="F76" s="67" t="s">
        <v>55</v>
      </c>
      <c r="G76" s="67" t="s">
        <v>64</v>
      </c>
      <c r="H76" s="45">
        <v>1490</v>
      </c>
      <c r="I76" s="28" t="s">
        <v>57</v>
      </c>
      <c r="J76" s="28" t="s">
        <v>65</v>
      </c>
      <c r="K76" s="46">
        <f>_xlfn.XLOOKUP(tblScope1[[#This Row],[EF ID]],tblEF[EF ID],tblEF[Aggregated EF],"To check",0)</f>
        <v>2.6890140000000002</v>
      </c>
      <c r="L76" s="28" t="str">
        <f>_xlfn.XLOOKUP(tblScope1[[#This Row],[EF ID]],tblEF[EF ID],tblEF[Aggregated EF Unit],"To check",0)</f>
        <v>kg CO₂e/L</v>
      </c>
      <c r="M76" s="68">
        <f t="shared" si="2"/>
        <v>4006.6308600000002</v>
      </c>
      <c r="N76" s="69">
        <f t="shared" si="3"/>
        <v>4.0066308600000005</v>
      </c>
      <c r="O76" s="29" t="s">
        <v>327</v>
      </c>
      <c r="P76" s="49" t="s">
        <v>80</v>
      </c>
    </row>
    <row r="77" spans="2:16" ht="15" customHeight="1" x14ac:dyDescent="0.25">
      <c r="B77" s="43" t="s">
        <v>368</v>
      </c>
      <c r="C77" s="44">
        <v>46387</v>
      </c>
      <c r="D77" s="67" t="s">
        <v>10</v>
      </c>
      <c r="E77" s="29" t="s">
        <v>11</v>
      </c>
      <c r="F77" s="67" t="s">
        <v>55</v>
      </c>
      <c r="G77" s="67" t="s">
        <v>64</v>
      </c>
      <c r="H77" s="45">
        <v>1490</v>
      </c>
      <c r="I77" s="28" t="s">
        <v>57</v>
      </c>
      <c r="J77" s="28" t="s">
        <v>65</v>
      </c>
      <c r="K77" s="46">
        <f>_xlfn.XLOOKUP(tblScope1[[#This Row],[EF ID]],tblEF[EF ID],tblEF[Aggregated EF],"To check",0)</f>
        <v>2.6890140000000002</v>
      </c>
      <c r="L77" s="28" t="str">
        <f>_xlfn.XLOOKUP(tblScope1[[#This Row],[EF ID]],tblEF[EF ID],tblEF[Aggregated EF Unit],"To check",0)</f>
        <v>kg CO₂e/L</v>
      </c>
      <c r="M77" s="68">
        <f t="shared" si="2"/>
        <v>4006.6308600000002</v>
      </c>
      <c r="N77" s="69">
        <f t="shared" si="3"/>
        <v>4.0066308600000005</v>
      </c>
      <c r="O77" s="29" t="s">
        <v>328</v>
      </c>
      <c r="P77" s="49" t="s">
        <v>80</v>
      </c>
    </row>
    <row r="78" spans="2:16" ht="15" customHeight="1" x14ac:dyDescent="0.25">
      <c r="B78" s="43" t="s">
        <v>369</v>
      </c>
      <c r="C78" s="44">
        <v>46053</v>
      </c>
      <c r="D78" s="67" t="s">
        <v>12</v>
      </c>
      <c r="E78" s="29" t="s">
        <v>13</v>
      </c>
      <c r="F78" s="67" t="s">
        <v>46</v>
      </c>
      <c r="G78" s="67" t="s">
        <v>47</v>
      </c>
      <c r="H78" s="45">
        <v>8350</v>
      </c>
      <c r="I78" s="28" t="s">
        <v>48</v>
      </c>
      <c r="J78" s="28" t="s">
        <v>85</v>
      </c>
      <c r="K78" s="46">
        <f>_xlfn.XLOOKUP(tblScope1[[#This Row],[EF ID]],tblEF[EF ID],tblEF[Aggregated EF],"To check",0)</f>
        <v>1.9763110000000002</v>
      </c>
      <c r="L78" s="28" t="str">
        <f>_xlfn.XLOOKUP(tblScope1[[#This Row],[EF ID]],tblEF[EF ID],tblEF[Aggregated EF Unit],"To check",0)</f>
        <v>kg CO₂e/m³</v>
      </c>
      <c r="M78" s="68">
        <f t="shared" si="2"/>
        <v>16502.19685</v>
      </c>
      <c r="N78" s="69">
        <f t="shared" si="3"/>
        <v>16.502196850000001</v>
      </c>
      <c r="O78" s="29" t="s">
        <v>305</v>
      </c>
      <c r="P78" s="49" t="s">
        <v>50</v>
      </c>
    </row>
    <row r="79" spans="2:16" ht="15" customHeight="1" x14ac:dyDescent="0.25">
      <c r="B79" s="43" t="s">
        <v>370</v>
      </c>
      <c r="C79" s="44">
        <v>46081</v>
      </c>
      <c r="D79" s="67" t="s">
        <v>12</v>
      </c>
      <c r="E79" s="29" t="s">
        <v>13</v>
      </c>
      <c r="F79" s="67" t="s">
        <v>46</v>
      </c>
      <c r="G79" s="67" t="s">
        <v>47</v>
      </c>
      <c r="H79" s="45">
        <v>7490</v>
      </c>
      <c r="I79" s="28" t="s">
        <v>48</v>
      </c>
      <c r="J79" s="28" t="s">
        <v>85</v>
      </c>
      <c r="K79" s="46">
        <f>_xlfn.XLOOKUP(tblScope1[[#This Row],[EF ID]],tblEF[EF ID],tblEF[Aggregated EF],"To check",0)</f>
        <v>1.9763110000000002</v>
      </c>
      <c r="L79" s="28" t="str">
        <f>_xlfn.XLOOKUP(tblScope1[[#This Row],[EF ID]],tblEF[EF ID],tblEF[Aggregated EF Unit],"To check",0)</f>
        <v>kg CO₂e/m³</v>
      </c>
      <c r="M79" s="68">
        <f t="shared" si="2"/>
        <v>14802.569390000001</v>
      </c>
      <c r="N79" s="69">
        <f t="shared" si="3"/>
        <v>14.80256939</v>
      </c>
      <c r="O79" s="29" t="s">
        <v>306</v>
      </c>
      <c r="P79" s="49" t="s">
        <v>50</v>
      </c>
    </row>
    <row r="80" spans="2:16" ht="15" customHeight="1" x14ac:dyDescent="0.25">
      <c r="B80" s="43" t="s">
        <v>371</v>
      </c>
      <c r="C80" s="44">
        <v>46112</v>
      </c>
      <c r="D80" s="67" t="s">
        <v>12</v>
      </c>
      <c r="E80" s="29" t="s">
        <v>13</v>
      </c>
      <c r="F80" s="67" t="s">
        <v>46</v>
      </c>
      <c r="G80" s="67" t="s">
        <v>47</v>
      </c>
      <c r="H80" s="45">
        <v>5560</v>
      </c>
      <c r="I80" s="28" t="s">
        <v>48</v>
      </c>
      <c r="J80" s="28" t="s">
        <v>85</v>
      </c>
      <c r="K80" s="46">
        <f>_xlfn.XLOOKUP(tblScope1[[#This Row],[EF ID]],tblEF[EF ID],tblEF[Aggregated EF],"To check",0)</f>
        <v>1.9763110000000002</v>
      </c>
      <c r="L80" s="28" t="str">
        <f>_xlfn.XLOOKUP(tblScope1[[#This Row],[EF ID]],tblEF[EF ID],tblEF[Aggregated EF Unit],"To check",0)</f>
        <v>kg CO₂e/m³</v>
      </c>
      <c r="M80" s="68">
        <f t="shared" si="2"/>
        <v>10988.28916</v>
      </c>
      <c r="N80" s="69">
        <f t="shared" si="3"/>
        <v>10.988289160000001</v>
      </c>
      <c r="O80" s="29" t="s">
        <v>307</v>
      </c>
      <c r="P80" s="49" t="s">
        <v>50</v>
      </c>
    </row>
    <row r="81" spans="2:16" ht="15" customHeight="1" x14ac:dyDescent="0.25">
      <c r="B81" s="43" t="s">
        <v>372</v>
      </c>
      <c r="C81" s="44">
        <v>46142</v>
      </c>
      <c r="D81" s="67" t="s">
        <v>12</v>
      </c>
      <c r="E81" s="29" t="s">
        <v>13</v>
      </c>
      <c r="F81" s="67" t="s">
        <v>46</v>
      </c>
      <c r="G81" s="67" t="s">
        <v>47</v>
      </c>
      <c r="H81" s="45">
        <v>4510</v>
      </c>
      <c r="I81" s="28" t="s">
        <v>48</v>
      </c>
      <c r="J81" s="28" t="s">
        <v>85</v>
      </c>
      <c r="K81" s="46">
        <f>_xlfn.XLOOKUP(tblScope1[[#This Row],[EF ID]],tblEF[EF ID],tblEF[Aggregated EF],"To check",0)</f>
        <v>1.9763110000000002</v>
      </c>
      <c r="L81" s="28" t="str">
        <f>_xlfn.XLOOKUP(tblScope1[[#This Row],[EF ID]],tblEF[EF ID],tblEF[Aggregated EF Unit],"To check",0)</f>
        <v>kg CO₂e/m³</v>
      </c>
      <c r="M81" s="68">
        <f t="shared" si="2"/>
        <v>8913.1626100000012</v>
      </c>
      <c r="N81" s="69">
        <f t="shared" si="3"/>
        <v>8.9131626100000005</v>
      </c>
      <c r="O81" s="29" t="s">
        <v>308</v>
      </c>
      <c r="P81" s="49" t="s">
        <v>50</v>
      </c>
    </row>
    <row r="82" spans="2:16" ht="15" customHeight="1" x14ac:dyDescent="0.25">
      <c r="B82" s="43" t="s">
        <v>373</v>
      </c>
      <c r="C82" s="44">
        <v>46173</v>
      </c>
      <c r="D82" s="67" t="s">
        <v>12</v>
      </c>
      <c r="E82" s="29" t="s">
        <v>13</v>
      </c>
      <c r="F82" s="67" t="s">
        <v>46</v>
      </c>
      <c r="G82" s="67" t="s">
        <v>47</v>
      </c>
      <c r="H82" s="45">
        <v>3230</v>
      </c>
      <c r="I82" s="28" t="s">
        <v>48</v>
      </c>
      <c r="J82" s="28" t="s">
        <v>85</v>
      </c>
      <c r="K82" s="46">
        <f>_xlfn.XLOOKUP(tblScope1[[#This Row],[EF ID]],tblEF[EF ID],tblEF[Aggregated EF],"To check",0)</f>
        <v>1.9763110000000002</v>
      </c>
      <c r="L82" s="28" t="str">
        <f>_xlfn.XLOOKUP(tblScope1[[#This Row],[EF ID]],tblEF[EF ID],tblEF[Aggregated EF Unit],"To check",0)</f>
        <v>kg CO₂e/m³</v>
      </c>
      <c r="M82" s="68">
        <f t="shared" si="2"/>
        <v>6383.4845300000006</v>
      </c>
      <c r="N82" s="69">
        <f t="shared" si="3"/>
        <v>6.3834845300000005</v>
      </c>
      <c r="O82" s="29" t="s">
        <v>309</v>
      </c>
      <c r="P82" s="49" t="s">
        <v>50</v>
      </c>
    </row>
    <row r="83" spans="2:16" ht="15" customHeight="1" x14ac:dyDescent="0.25">
      <c r="B83" s="43" t="s">
        <v>374</v>
      </c>
      <c r="C83" s="44">
        <v>46203</v>
      </c>
      <c r="D83" s="67" t="s">
        <v>12</v>
      </c>
      <c r="E83" s="29" t="s">
        <v>13</v>
      </c>
      <c r="F83" s="67" t="s">
        <v>46</v>
      </c>
      <c r="G83" s="67" t="s">
        <v>47</v>
      </c>
      <c r="H83" s="45">
        <v>2060</v>
      </c>
      <c r="I83" s="28" t="s">
        <v>48</v>
      </c>
      <c r="J83" s="28" t="s">
        <v>85</v>
      </c>
      <c r="K83" s="46">
        <f>_xlfn.XLOOKUP(tblScope1[[#This Row],[EF ID]],tblEF[EF ID],tblEF[Aggregated EF],"To check",0)</f>
        <v>1.9763110000000002</v>
      </c>
      <c r="L83" s="28" t="str">
        <f>_xlfn.XLOOKUP(tblScope1[[#This Row],[EF ID]],tblEF[EF ID],tblEF[Aggregated EF Unit],"To check",0)</f>
        <v>kg CO₂e/m³</v>
      </c>
      <c r="M83" s="68">
        <f t="shared" si="2"/>
        <v>4071.2006600000004</v>
      </c>
      <c r="N83" s="69">
        <f t="shared" si="3"/>
        <v>4.0712006600000006</v>
      </c>
      <c r="O83" s="29" t="s">
        <v>310</v>
      </c>
      <c r="P83" s="49" t="s">
        <v>50</v>
      </c>
    </row>
    <row r="84" spans="2:16" ht="15" customHeight="1" x14ac:dyDescent="0.25">
      <c r="B84" s="43" t="s">
        <v>375</v>
      </c>
      <c r="C84" s="44">
        <v>46234</v>
      </c>
      <c r="D84" s="67" t="s">
        <v>12</v>
      </c>
      <c r="E84" s="29" t="s">
        <v>13</v>
      </c>
      <c r="F84" s="67" t="s">
        <v>46</v>
      </c>
      <c r="G84" s="67" t="s">
        <v>47</v>
      </c>
      <c r="H84" s="45">
        <v>1080</v>
      </c>
      <c r="I84" s="28" t="s">
        <v>48</v>
      </c>
      <c r="J84" s="28" t="s">
        <v>85</v>
      </c>
      <c r="K84" s="46">
        <f>_xlfn.XLOOKUP(tblScope1[[#This Row],[EF ID]],tblEF[EF ID],tblEF[Aggregated EF],"To check",0)</f>
        <v>1.9763110000000002</v>
      </c>
      <c r="L84" s="28" t="str">
        <f>_xlfn.XLOOKUP(tblScope1[[#This Row],[EF ID]],tblEF[EF ID],tblEF[Aggregated EF Unit],"To check",0)</f>
        <v>kg CO₂e/m³</v>
      </c>
      <c r="M84" s="68">
        <f t="shared" si="2"/>
        <v>2134.41588</v>
      </c>
      <c r="N84" s="69">
        <f t="shared" si="3"/>
        <v>2.1344158800000002</v>
      </c>
      <c r="O84" s="29" t="s">
        <v>311</v>
      </c>
      <c r="P84" s="49" t="s">
        <v>50</v>
      </c>
    </row>
    <row r="85" spans="2:16" ht="15" customHeight="1" x14ac:dyDescent="0.25">
      <c r="B85" s="43" t="s">
        <v>376</v>
      </c>
      <c r="C85" s="44">
        <v>46265</v>
      </c>
      <c r="D85" s="67" t="s">
        <v>12</v>
      </c>
      <c r="E85" s="29" t="s">
        <v>13</v>
      </c>
      <c r="F85" s="67" t="s">
        <v>46</v>
      </c>
      <c r="G85" s="67" t="s">
        <v>47</v>
      </c>
      <c r="H85" s="45">
        <v>1150</v>
      </c>
      <c r="I85" s="28" t="s">
        <v>48</v>
      </c>
      <c r="J85" s="28" t="s">
        <v>85</v>
      </c>
      <c r="K85" s="46">
        <f>_xlfn.XLOOKUP(tblScope1[[#This Row],[EF ID]],tblEF[EF ID],tblEF[Aggregated EF],"To check",0)</f>
        <v>1.9763110000000002</v>
      </c>
      <c r="L85" s="28" t="str">
        <f>_xlfn.XLOOKUP(tblScope1[[#This Row],[EF ID]],tblEF[EF ID],tblEF[Aggregated EF Unit],"To check",0)</f>
        <v>kg CO₂e/m³</v>
      </c>
      <c r="M85" s="68">
        <f t="shared" si="2"/>
        <v>2272.75765</v>
      </c>
      <c r="N85" s="69">
        <f t="shared" si="3"/>
        <v>2.27275765</v>
      </c>
      <c r="O85" s="29" t="s">
        <v>312</v>
      </c>
      <c r="P85" s="49" t="s">
        <v>50</v>
      </c>
    </row>
    <row r="86" spans="2:16" ht="15" customHeight="1" x14ac:dyDescent="0.25">
      <c r="B86" s="43" t="s">
        <v>377</v>
      </c>
      <c r="C86" s="44">
        <v>46295</v>
      </c>
      <c r="D86" s="67" t="s">
        <v>12</v>
      </c>
      <c r="E86" s="29" t="s">
        <v>13</v>
      </c>
      <c r="F86" s="67" t="s">
        <v>46</v>
      </c>
      <c r="G86" s="67" t="s">
        <v>47</v>
      </c>
      <c r="H86" s="45">
        <v>1370</v>
      </c>
      <c r="I86" s="28" t="s">
        <v>48</v>
      </c>
      <c r="J86" s="28" t="s">
        <v>85</v>
      </c>
      <c r="K86" s="46">
        <f>_xlfn.XLOOKUP(tblScope1[[#This Row],[EF ID]],tblEF[EF ID],tblEF[Aggregated EF],"To check",0)</f>
        <v>1.9763110000000002</v>
      </c>
      <c r="L86" s="28" t="str">
        <f>_xlfn.XLOOKUP(tblScope1[[#This Row],[EF ID]],tblEF[EF ID],tblEF[Aggregated EF Unit],"To check",0)</f>
        <v>kg CO₂e/m³</v>
      </c>
      <c r="M86" s="68">
        <f t="shared" si="2"/>
        <v>2707.5460700000003</v>
      </c>
      <c r="N86" s="69">
        <f t="shared" si="3"/>
        <v>2.7075460700000002</v>
      </c>
      <c r="O86" s="29" t="s">
        <v>313</v>
      </c>
      <c r="P86" s="49" t="s">
        <v>50</v>
      </c>
    </row>
    <row r="87" spans="2:16" ht="15" customHeight="1" x14ac:dyDescent="0.25">
      <c r="B87" s="43" t="s">
        <v>378</v>
      </c>
      <c r="C87" s="44">
        <v>46326</v>
      </c>
      <c r="D87" s="67" t="s">
        <v>12</v>
      </c>
      <c r="E87" s="29" t="s">
        <v>13</v>
      </c>
      <c r="F87" s="67" t="s">
        <v>46</v>
      </c>
      <c r="G87" s="67" t="s">
        <v>47</v>
      </c>
      <c r="H87" s="45">
        <v>3560</v>
      </c>
      <c r="I87" s="28" t="s">
        <v>48</v>
      </c>
      <c r="J87" s="28" t="s">
        <v>85</v>
      </c>
      <c r="K87" s="46">
        <f>_xlfn.XLOOKUP(tblScope1[[#This Row],[EF ID]],tblEF[EF ID],tblEF[Aggregated EF],"To check",0)</f>
        <v>1.9763110000000002</v>
      </c>
      <c r="L87" s="28" t="str">
        <f>_xlfn.XLOOKUP(tblScope1[[#This Row],[EF ID]],tblEF[EF ID],tblEF[Aggregated EF Unit],"To check",0)</f>
        <v>kg CO₂e/m³</v>
      </c>
      <c r="M87" s="68">
        <f t="shared" si="2"/>
        <v>7035.6671600000009</v>
      </c>
      <c r="N87" s="69">
        <f t="shared" si="3"/>
        <v>7.0356671600000009</v>
      </c>
      <c r="O87" s="29" t="s">
        <v>314</v>
      </c>
      <c r="P87" s="49" t="s">
        <v>50</v>
      </c>
    </row>
    <row r="88" spans="2:16" ht="15" customHeight="1" x14ac:dyDescent="0.25">
      <c r="B88" s="43" t="s">
        <v>379</v>
      </c>
      <c r="C88" s="44">
        <v>46356</v>
      </c>
      <c r="D88" s="67" t="s">
        <v>12</v>
      </c>
      <c r="E88" s="29" t="s">
        <v>13</v>
      </c>
      <c r="F88" s="67" t="s">
        <v>46</v>
      </c>
      <c r="G88" s="67" t="s">
        <v>47</v>
      </c>
      <c r="H88" s="45">
        <v>5510</v>
      </c>
      <c r="I88" s="28" t="s">
        <v>48</v>
      </c>
      <c r="J88" s="28" t="s">
        <v>85</v>
      </c>
      <c r="K88" s="46">
        <f>_xlfn.XLOOKUP(tblScope1[[#This Row],[EF ID]],tblEF[EF ID],tblEF[Aggregated EF],"To check",0)</f>
        <v>1.9763110000000002</v>
      </c>
      <c r="L88" s="28" t="str">
        <f>_xlfn.XLOOKUP(tblScope1[[#This Row],[EF ID]],tblEF[EF ID],tblEF[Aggregated EF Unit],"To check",0)</f>
        <v>kg CO₂e/m³</v>
      </c>
      <c r="M88" s="68">
        <f t="shared" si="2"/>
        <v>10889.473610000001</v>
      </c>
      <c r="N88" s="69">
        <f t="shared" si="3"/>
        <v>10.889473610000001</v>
      </c>
      <c r="O88" s="29" t="s">
        <v>315</v>
      </c>
      <c r="P88" s="49" t="s">
        <v>50</v>
      </c>
    </row>
    <row r="89" spans="2:16" ht="15" customHeight="1" x14ac:dyDescent="0.25">
      <c r="B89" s="43" t="s">
        <v>380</v>
      </c>
      <c r="C89" s="44">
        <v>46387</v>
      </c>
      <c r="D89" s="67" t="s">
        <v>12</v>
      </c>
      <c r="E89" s="29" t="s">
        <v>13</v>
      </c>
      <c r="F89" s="67" t="s">
        <v>46</v>
      </c>
      <c r="G89" s="67" t="s">
        <v>47</v>
      </c>
      <c r="H89" s="45">
        <v>7130</v>
      </c>
      <c r="I89" s="28" t="s">
        <v>48</v>
      </c>
      <c r="J89" s="28" t="s">
        <v>85</v>
      </c>
      <c r="K89" s="46">
        <f>_xlfn.XLOOKUP(tblScope1[[#This Row],[EF ID]],tblEF[EF ID],tblEF[Aggregated EF],"To check",0)</f>
        <v>1.9763110000000002</v>
      </c>
      <c r="L89" s="28" t="str">
        <f>_xlfn.XLOOKUP(tblScope1[[#This Row],[EF ID]],tblEF[EF ID],tblEF[Aggregated EF Unit],"To check",0)</f>
        <v>kg CO₂e/m³</v>
      </c>
      <c r="M89" s="68">
        <f t="shared" si="2"/>
        <v>14091.097430000002</v>
      </c>
      <c r="N89" s="69">
        <f t="shared" si="3"/>
        <v>14.091097430000001</v>
      </c>
      <c r="O89" s="29" t="s">
        <v>316</v>
      </c>
      <c r="P89" s="49" t="s">
        <v>50</v>
      </c>
    </row>
    <row r="90" spans="2:16" ht="15" customHeight="1" x14ac:dyDescent="0.25">
      <c r="B90" s="43" t="s">
        <v>381</v>
      </c>
      <c r="C90" s="44">
        <v>46053</v>
      </c>
      <c r="D90" s="67" t="s">
        <v>12</v>
      </c>
      <c r="E90" s="29" t="s">
        <v>13</v>
      </c>
      <c r="F90" s="67" t="s">
        <v>55</v>
      </c>
      <c r="G90" s="67" t="s">
        <v>56</v>
      </c>
      <c r="H90" s="45">
        <v>1090</v>
      </c>
      <c r="I90" s="28" t="s">
        <v>57</v>
      </c>
      <c r="J90" s="28" t="s">
        <v>58</v>
      </c>
      <c r="K90" s="46">
        <f>_xlfn.XLOOKUP(tblScope1[[#This Row],[EF ID]],tblEF[EF ID],tblEF[Aggregated EF],"To check",0)</f>
        <v>2.3151000000000002</v>
      </c>
      <c r="L90" s="28" t="str">
        <f>_xlfn.XLOOKUP(tblScope1[[#This Row],[EF ID]],tblEF[EF ID],tblEF[Aggregated EF Unit],"To check",0)</f>
        <v>kg CO₂e/L</v>
      </c>
      <c r="M90" s="68">
        <f t="shared" si="2"/>
        <v>2523.4590000000003</v>
      </c>
      <c r="N90" s="69">
        <f t="shared" si="3"/>
        <v>2.5234590000000003</v>
      </c>
      <c r="O90" s="29" t="s">
        <v>317</v>
      </c>
      <c r="P90" s="49" t="s">
        <v>90</v>
      </c>
    </row>
    <row r="91" spans="2:16" ht="15" customHeight="1" x14ac:dyDescent="0.25">
      <c r="B91" s="43" t="s">
        <v>382</v>
      </c>
      <c r="C91" s="44">
        <v>46081</v>
      </c>
      <c r="D91" s="67" t="s">
        <v>12</v>
      </c>
      <c r="E91" s="29" t="s">
        <v>13</v>
      </c>
      <c r="F91" s="67" t="s">
        <v>55</v>
      </c>
      <c r="G91" s="67" t="s">
        <v>56</v>
      </c>
      <c r="H91" s="45">
        <v>1060</v>
      </c>
      <c r="I91" s="28" t="s">
        <v>57</v>
      </c>
      <c r="J91" s="28" t="s">
        <v>58</v>
      </c>
      <c r="K91" s="46">
        <f>_xlfn.XLOOKUP(tblScope1[[#This Row],[EF ID]],tblEF[EF ID],tblEF[Aggregated EF],"To check",0)</f>
        <v>2.3151000000000002</v>
      </c>
      <c r="L91" s="28" t="str">
        <f>_xlfn.XLOOKUP(tblScope1[[#This Row],[EF ID]],tblEF[EF ID],tblEF[Aggregated EF Unit],"To check",0)</f>
        <v>kg CO₂e/L</v>
      </c>
      <c r="M91" s="68">
        <f t="shared" si="2"/>
        <v>2454.0060000000003</v>
      </c>
      <c r="N91" s="69">
        <f t="shared" si="3"/>
        <v>2.4540060000000001</v>
      </c>
      <c r="O91" s="29" t="s">
        <v>318</v>
      </c>
      <c r="P91" s="49" t="s">
        <v>90</v>
      </c>
    </row>
    <row r="92" spans="2:16" ht="15" customHeight="1" x14ac:dyDescent="0.25">
      <c r="B92" s="43" t="s">
        <v>383</v>
      </c>
      <c r="C92" s="44">
        <v>46112</v>
      </c>
      <c r="D92" s="67" t="s">
        <v>12</v>
      </c>
      <c r="E92" s="29" t="s">
        <v>13</v>
      </c>
      <c r="F92" s="67" t="s">
        <v>55</v>
      </c>
      <c r="G92" s="67" t="s">
        <v>56</v>
      </c>
      <c r="H92" s="45">
        <v>1060</v>
      </c>
      <c r="I92" s="28" t="s">
        <v>57</v>
      </c>
      <c r="J92" s="28" t="s">
        <v>58</v>
      </c>
      <c r="K92" s="46">
        <f>_xlfn.XLOOKUP(tblScope1[[#This Row],[EF ID]],tblEF[EF ID],tblEF[Aggregated EF],"To check",0)</f>
        <v>2.3151000000000002</v>
      </c>
      <c r="L92" s="28" t="str">
        <f>_xlfn.XLOOKUP(tblScope1[[#This Row],[EF ID]],tblEF[EF ID],tblEF[Aggregated EF Unit],"To check",0)</f>
        <v>kg CO₂e/L</v>
      </c>
      <c r="M92" s="68">
        <f t="shared" si="2"/>
        <v>2454.0060000000003</v>
      </c>
      <c r="N92" s="69">
        <f t="shared" si="3"/>
        <v>2.4540060000000001</v>
      </c>
      <c r="O92" s="29" t="s">
        <v>319</v>
      </c>
      <c r="P92" s="49" t="s">
        <v>90</v>
      </c>
    </row>
    <row r="93" spans="2:16" ht="15" customHeight="1" x14ac:dyDescent="0.25">
      <c r="B93" s="43" t="s">
        <v>384</v>
      </c>
      <c r="C93" s="44">
        <v>46142</v>
      </c>
      <c r="D93" s="67" t="s">
        <v>12</v>
      </c>
      <c r="E93" s="29" t="s">
        <v>13</v>
      </c>
      <c r="F93" s="67" t="s">
        <v>55</v>
      </c>
      <c r="G93" s="67" t="s">
        <v>56</v>
      </c>
      <c r="H93" s="45">
        <v>1110</v>
      </c>
      <c r="I93" s="28" t="s">
        <v>57</v>
      </c>
      <c r="J93" s="28" t="s">
        <v>58</v>
      </c>
      <c r="K93" s="46">
        <f>_xlfn.XLOOKUP(tblScope1[[#This Row],[EF ID]],tblEF[EF ID],tblEF[Aggregated EF],"To check",0)</f>
        <v>2.3151000000000002</v>
      </c>
      <c r="L93" s="28" t="str">
        <f>_xlfn.XLOOKUP(tblScope1[[#This Row],[EF ID]],tblEF[EF ID],tblEF[Aggregated EF Unit],"To check",0)</f>
        <v>kg CO₂e/L</v>
      </c>
      <c r="M93" s="68">
        <f t="shared" si="2"/>
        <v>2569.761</v>
      </c>
      <c r="N93" s="69">
        <f t="shared" si="3"/>
        <v>2.5697610000000002</v>
      </c>
      <c r="O93" s="29" t="s">
        <v>320</v>
      </c>
      <c r="P93" s="49" t="s">
        <v>90</v>
      </c>
    </row>
    <row r="94" spans="2:16" ht="15" customHeight="1" x14ac:dyDescent="0.25">
      <c r="B94" s="43" t="s">
        <v>385</v>
      </c>
      <c r="C94" s="44">
        <v>46173</v>
      </c>
      <c r="D94" s="67" t="s">
        <v>12</v>
      </c>
      <c r="E94" s="29" t="s">
        <v>13</v>
      </c>
      <c r="F94" s="67" t="s">
        <v>55</v>
      </c>
      <c r="G94" s="67" t="s">
        <v>56</v>
      </c>
      <c r="H94" s="45">
        <v>1180</v>
      </c>
      <c r="I94" s="28" t="s">
        <v>57</v>
      </c>
      <c r="J94" s="28" t="s">
        <v>58</v>
      </c>
      <c r="K94" s="46">
        <f>_xlfn.XLOOKUP(tblScope1[[#This Row],[EF ID]],tblEF[EF ID],tblEF[Aggregated EF],"To check",0)</f>
        <v>2.3151000000000002</v>
      </c>
      <c r="L94" s="28" t="str">
        <f>_xlfn.XLOOKUP(tblScope1[[#This Row],[EF ID]],tblEF[EF ID],tblEF[Aggregated EF Unit],"To check",0)</f>
        <v>kg CO₂e/L</v>
      </c>
      <c r="M94" s="68">
        <f t="shared" si="2"/>
        <v>2731.8180000000002</v>
      </c>
      <c r="N94" s="69">
        <f t="shared" si="3"/>
        <v>2.7318180000000001</v>
      </c>
      <c r="O94" s="29" t="s">
        <v>321</v>
      </c>
      <c r="P94" s="49" t="s">
        <v>90</v>
      </c>
    </row>
    <row r="95" spans="2:16" ht="15" customHeight="1" x14ac:dyDescent="0.25">
      <c r="B95" s="43" t="s">
        <v>386</v>
      </c>
      <c r="C95" s="44">
        <v>46203</v>
      </c>
      <c r="D95" s="67" t="s">
        <v>12</v>
      </c>
      <c r="E95" s="29" t="s">
        <v>13</v>
      </c>
      <c r="F95" s="67" t="s">
        <v>55</v>
      </c>
      <c r="G95" s="67" t="s">
        <v>56</v>
      </c>
      <c r="H95" s="45">
        <v>1180</v>
      </c>
      <c r="I95" s="28" t="s">
        <v>57</v>
      </c>
      <c r="J95" s="28" t="s">
        <v>58</v>
      </c>
      <c r="K95" s="46">
        <f>_xlfn.XLOOKUP(tblScope1[[#This Row],[EF ID]],tblEF[EF ID],tblEF[Aggregated EF],"To check",0)</f>
        <v>2.3151000000000002</v>
      </c>
      <c r="L95" s="28" t="str">
        <f>_xlfn.XLOOKUP(tblScope1[[#This Row],[EF ID]],tblEF[EF ID],tblEF[Aggregated EF Unit],"To check",0)</f>
        <v>kg CO₂e/L</v>
      </c>
      <c r="M95" s="68">
        <f t="shared" si="2"/>
        <v>2731.8180000000002</v>
      </c>
      <c r="N95" s="69">
        <f t="shared" si="3"/>
        <v>2.7318180000000001</v>
      </c>
      <c r="O95" s="29" t="s">
        <v>322</v>
      </c>
      <c r="P95" s="49" t="s">
        <v>90</v>
      </c>
    </row>
    <row r="96" spans="2:16" ht="15" customHeight="1" x14ac:dyDescent="0.25">
      <c r="B96" s="43" t="s">
        <v>387</v>
      </c>
      <c r="C96" s="44">
        <v>46234</v>
      </c>
      <c r="D96" s="67" t="s">
        <v>12</v>
      </c>
      <c r="E96" s="29" t="s">
        <v>13</v>
      </c>
      <c r="F96" s="67" t="s">
        <v>55</v>
      </c>
      <c r="G96" s="67" t="s">
        <v>56</v>
      </c>
      <c r="H96" s="45">
        <v>1220</v>
      </c>
      <c r="I96" s="28" t="s">
        <v>57</v>
      </c>
      <c r="J96" s="28" t="s">
        <v>58</v>
      </c>
      <c r="K96" s="46">
        <f>_xlfn.XLOOKUP(tblScope1[[#This Row],[EF ID]],tblEF[EF ID],tblEF[Aggregated EF],"To check",0)</f>
        <v>2.3151000000000002</v>
      </c>
      <c r="L96" s="28" t="str">
        <f>_xlfn.XLOOKUP(tblScope1[[#This Row],[EF ID]],tblEF[EF ID],tblEF[Aggregated EF Unit],"To check",0)</f>
        <v>kg CO₂e/L</v>
      </c>
      <c r="M96" s="68">
        <f t="shared" si="2"/>
        <v>2824.422</v>
      </c>
      <c r="N96" s="69">
        <f t="shared" si="3"/>
        <v>2.8244220000000002</v>
      </c>
      <c r="O96" s="29" t="s">
        <v>323</v>
      </c>
      <c r="P96" s="49" t="s">
        <v>90</v>
      </c>
    </row>
    <row r="97" spans="2:16" ht="15" customHeight="1" x14ac:dyDescent="0.25">
      <c r="B97" s="43" t="s">
        <v>388</v>
      </c>
      <c r="C97" s="44">
        <v>46265</v>
      </c>
      <c r="D97" s="67" t="s">
        <v>12</v>
      </c>
      <c r="E97" s="29" t="s">
        <v>13</v>
      </c>
      <c r="F97" s="67" t="s">
        <v>55</v>
      </c>
      <c r="G97" s="67" t="s">
        <v>56</v>
      </c>
      <c r="H97" s="45">
        <v>1250</v>
      </c>
      <c r="I97" s="28" t="s">
        <v>57</v>
      </c>
      <c r="J97" s="28" t="s">
        <v>58</v>
      </c>
      <c r="K97" s="46">
        <f>_xlfn.XLOOKUP(tblScope1[[#This Row],[EF ID]],tblEF[EF ID],tblEF[Aggregated EF],"To check",0)</f>
        <v>2.3151000000000002</v>
      </c>
      <c r="L97" s="28" t="str">
        <f>_xlfn.XLOOKUP(tblScope1[[#This Row],[EF ID]],tblEF[EF ID],tblEF[Aggregated EF Unit],"To check",0)</f>
        <v>kg CO₂e/L</v>
      </c>
      <c r="M97" s="68">
        <f t="shared" si="2"/>
        <v>2893.875</v>
      </c>
      <c r="N97" s="69">
        <f t="shared" si="3"/>
        <v>2.893875</v>
      </c>
      <c r="O97" s="29" t="s">
        <v>324</v>
      </c>
      <c r="P97" s="49" t="s">
        <v>90</v>
      </c>
    </row>
    <row r="98" spans="2:16" ht="15" customHeight="1" x14ac:dyDescent="0.25">
      <c r="B98" s="43" t="s">
        <v>389</v>
      </c>
      <c r="C98" s="44">
        <v>46295</v>
      </c>
      <c r="D98" s="67" t="s">
        <v>12</v>
      </c>
      <c r="E98" s="29" t="s">
        <v>13</v>
      </c>
      <c r="F98" s="67" t="s">
        <v>55</v>
      </c>
      <c r="G98" s="67" t="s">
        <v>56</v>
      </c>
      <c r="H98" s="45">
        <v>1220</v>
      </c>
      <c r="I98" s="28" t="s">
        <v>57</v>
      </c>
      <c r="J98" s="28" t="s">
        <v>58</v>
      </c>
      <c r="K98" s="46">
        <f>_xlfn.XLOOKUP(tblScope1[[#This Row],[EF ID]],tblEF[EF ID],tblEF[Aggregated EF],"To check",0)</f>
        <v>2.3151000000000002</v>
      </c>
      <c r="L98" s="28" t="str">
        <f>_xlfn.XLOOKUP(tblScope1[[#This Row],[EF ID]],tblEF[EF ID],tblEF[Aggregated EF Unit],"To check",0)</f>
        <v>kg CO₂e/L</v>
      </c>
      <c r="M98" s="68">
        <f t="shared" si="2"/>
        <v>2824.422</v>
      </c>
      <c r="N98" s="69">
        <f t="shared" si="3"/>
        <v>2.8244220000000002</v>
      </c>
      <c r="O98" s="29" t="s">
        <v>325</v>
      </c>
      <c r="P98" s="49" t="s">
        <v>90</v>
      </c>
    </row>
    <row r="99" spans="2:16" ht="15" customHeight="1" x14ac:dyDescent="0.25">
      <c r="B99" s="43" t="s">
        <v>390</v>
      </c>
      <c r="C99" s="44">
        <v>46326</v>
      </c>
      <c r="D99" s="67" t="s">
        <v>12</v>
      </c>
      <c r="E99" s="29" t="s">
        <v>13</v>
      </c>
      <c r="F99" s="67" t="s">
        <v>55</v>
      </c>
      <c r="G99" s="67" t="s">
        <v>56</v>
      </c>
      <c r="H99" s="45">
        <v>1070</v>
      </c>
      <c r="I99" s="28" t="s">
        <v>57</v>
      </c>
      <c r="J99" s="28" t="s">
        <v>58</v>
      </c>
      <c r="K99" s="46">
        <f>_xlfn.XLOOKUP(tblScope1[[#This Row],[EF ID]],tblEF[EF ID],tblEF[Aggregated EF],"To check",0)</f>
        <v>2.3151000000000002</v>
      </c>
      <c r="L99" s="28" t="str">
        <f>_xlfn.XLOOKUP(tblScope1[[#This Row],[EF ID]],tblEF[EF ID],tblEF[Aggregated EF Unit],"To check",0)</f>
        <v>kg CO₂e/L</v>
      </c>
      <c r="M99" s="68">
        <f t="shared" si="2"/>
        <v>2477.1570000000002</v>
      </c>
      <c r="N99" s="69">
        <f t="shared" si="3"/>
        <v>2.4771570000000001</v>
      </c>
      <c r="O99" s="29" t="s">
        <v>326</v>
      </c>
      <c r="P99" s="49" t="s">
        <v>90</v>
      </c>
    </row>
    <row r="100" spans="2:16" ht="15" customHeight="1" x14ac:dyDescent="0.25">
      <c r="B100" s="43" t="s">
        <v>391</v>
      </c>
      <c r="C100" s="44">
        <v>46356</v>
      </c>
      <c r="D100" s="67" t="s">
        <v>12</v>
      </c>
      <c r="E100" s="29" t="s">
        <v>13</v>
      </c>
      <c r="F100" s="67" t="s">
        <v>55</v>
      </c>
      <c r="G100" s="67" t="s">
        <v>56</v>
      </c>
      <c r="H100" s="45">
        <v>1040</v>
      </c>
      <c r="I100" s="28" t="s">
        <v>57</v>
      </c>
      <c r="J100" s="28" t="s">
        <v>58</v>
      </c>
      <c r="K100" s="46">
        <f>_xlfn.XLOOKUP(tblScope1[[#This Row],[EF ID]],tblEF[EF ID],tblEF[Aggregated EF],"To check",0)</f>
        <v>2.3151000000000002</v>
      </c>
      <c r="L100" s="28" t="str">
        <f>_xlfn.XLOOKUP(tblScope1[[#This Row],[EF ID]],tblEF[EF ID],tblEF[Aggregated EF Unit],"To check",0)</f>
        <v>kg CO₂e/L</v>
      </c>
      <c r="M100" s="68">
        <f t="shared" si="2"/>
        <v>2407.7040000000002</v>
      </c>
      <c r="N100" s="69">
        <f t="shared" si="3"/>
        <v>2.4077040000000003</v>
      </c>
      <c r="O100" s="29" t="s">
        <v>327</v>
      </c>
      <c r="P100" s="49" t="s">
        <v>90</v>
      </c>
    </row>
    <row r="101" spans="2:16" ht="15" customHeight="1" x14ac:dyDescent="0.25">
      <c r="B101" s="43" t="s">
        <v>392</v>
      </c>
      <c r="C101" s="44">
        <v>46387</v>
      </c>
      <c r="D101" s="67" t="s">
        <v>12</v>
      </c>
      <c r="E101" s="29" t="s">
        <v>13</v>
      </c>
      <c r="F101" s="67" t="s">
        <v>55</v>
      </c>
      <c r="G101" s="67" t="s">
        <v>56</v>
      </c>
      <c r="H101" s="45">
        <v>1040</v>
      </c>
      <c r="I101" s="28" t="s">
        <v>57</v>
      </c>
      <c r="J101" s="28" t="s">
        <v>58</v>
      </c>
      <c r="K101" s="46">
        <f>_xlfn.XLOOKUP(tblScope1[[#This Row],[EF ID]],tblEF[EF ID],tblEF[Aggregated EF],"To check",0)</f>
        <v>2.3151000000000002</v>
      </c>
      <c r="L101" s="28" t="str">
        <f>_xlfn.XLOOKUP(tblScope1[[#This Row],[EF ID]],tblEF[EF ID],tblEF[Aggregated EF Unit],"To check",0)</f>
        <v>kg CO₂e/L</v>
      </c>
      <c r="M101" s="68">
        <f t="shared" si="2"/>
        <v>2407.7040000000002</v>
      </c>
      <c r="N101" s="69">
        <f t="shared" si="3"/>
        <v>2.4077040000000003</v>
      </c>
      <c r="O101" s="29" t="s">
        <v>328</v>
      </c>
      <c r="P101" s="49" t="s">
        <v>90</v>
      </c>
    </row>
    <row r="102" spans="2:16" ht="19.5" customHeight="1" x14ac:dyDescent="0.25">
      <c r="B102" s="8" t="s">
        <v>94</v>
      </c>
      <c r="C102" s="9"/>
      <c r="D102" s="9"/>
      <c r="E102" s="9"/>
      <c r="F102" s="9"/>
      <c r="G102" s="9"/>
      <c r="H102" s="9"/>
      <c r="I102" s="9"/>
      <c r="J102" s="9"/>
      <c r="K102" s="9"/>
      <c r="L102" s="9"/>
      <c r="M102" s="70">
        <f>SUM(M6:M101)</f>
        <v>679555.58271000034</v>
      </c>
      <c r="N102" s="71">
        <f>SUM(N6:N101)</f>
        <v>679.55558271000018</v>
      </c>
      <c r="O102" s="72" t="s">
        <v>95</v>
      </c>
      <c r="P102" s="9"/>
    </row>
    <row r="104" spans="2:16" x14ac:dyDescent="0.25">
      <c r="B104" s="2" t="s">
        <v>96</v>
      </c>
    </row>
    <row r="105" spans="2:16" x14ac:dyDescent="0.25">
      <c r="B105" s="10" t="s">
        <v>97</v>
      </c>
      <c r="C105" s="3" t="s">
        <v>98</v>
      </c>
    </row>
    <row r="106" spans="2:16" x14ac:dyDescent="0.25">
      <c r="B106" s="11" t="s">
        <v>99</v>
      </c>
      <c r="C106" s="3" t="s">
        <v>100</v>
      </c>
    </row>
    <row r="107" spans="2:16" x14ac:dyDescent="0.25">
      <c r="B107" s="11" t="s">
        <v>101</v>
      </c>
      <c r="C107" s="3" t="s">
        <v>102</v>
      </c>
    </row>
    <row r="108" spans="2:16" x14ac:dyDescent="0.25">
      <c r="B108" s="11" t="s">
        <v>103</v>
      </c>
      <c r="C108" s="3" t="s">
        <v>104</v>
      </c>
    </row>
    <row r="110" spans="2:16" x14ac:dyDescent="0.25">
      <c r="B110" s="51" t="s">
        <v>258</v>
      </c>
      <c r="C110" s="51" t="s">
        <v>252</v>
      </c>
    </row>
    <row r="111" spans="2:16" ht="30" x14ac:dyDescent="0.25">
      <c r="B111" s="51" t="s">
        <v>259</v>
      </c>
      <c r="C111" s="73" t="s">
        <v>10</v>
      </c>
      <c r="D111" s="73" t="s">
        <v>8</v>
      </c>
      <c r="E111" s="73" t="s">
        <v>12</v>
      </c>
      <c r="F111" s="73" t="s">
        <v>253</v>
      </c>
    </row>
    <row r="112" spans="2:16" x14ac:dyDescent="0.25">
      <c r="B112" s="53" t="s">
        <v>296</v>
      </c>
      <c r="C112" s="52">
        <v>37.525030829999999</v>
      </c>
      <c r="D112" s="52">
        <v>37.417769400000005</v>
      </c>
      <c r="E112" s="52">
        <v>19.02565585</v>
      </c>
      <c r="F112" s="52">
        <v>93.96845608000001</v>
      </c>
    </row>
    <row r="113" spans="2:6" x14ac:dyDescent="0.25">
      <c r="B113" s="53" t="s">
        <v>297</v>
      </c>
      <c r="C113" s="52">
        <v>34.329225960000002</v>
      </c>
      <c r="D113" s="52">
        <v>34.003631640000002</v>
      </c>
      <c r="E113" s="52">
        <v>17.256575390000002</v>
      </c>
      <c r="F113" s="52">
        <v>85.589432990000006</v>
      </c>
    </row>
    <row r="114" spans="2:6" x14ac:dyDescent="0.25">
      <c r="B114" s="53" t="s">
        <v>254</v>
      </c>
      <c r="C114" s="52">
        <v>27.800876549999998</v>
      </c>
      <c r="D114" s="52">
        <v>26.703276060000004</v>
      </c>
      <c r="E114" s="52">
        <v>13.44229516</v>
      </c>
      <c r="F114" s="52">
        <v>67.946447770000006</v>
      </c>
    </row>
    <row r="115" spans="2:6" x14ac:dyDescent="0.25">
      <c r="B115" s="53" t="s">
        <v>298</v>
      </c>
      <c r="C115" s="52">
        <v>24.624155729999998</v>
      </c>
      <c r="D115" s="52">
        <v>22.275871250000002</v>
      </c>
      <c r="E115" s="52">
        <v>11.48292361</v>
      </c>
      <c r="F115" s="52">
        <v>58.38295059</v>
      </c>
    </row>
    <row r="116" spans="2:6" x14ac:dyDescent="0.25">
      <c r="B116" s="53" t="s">
        <v>299</v>
      </c>
      <c r="C116" s="52">
        <v>20.897810040000003</v>
      </c>
      <c r="D116" s="52">
        <v>17.987372440000001</v>
      </c>
      <c r="E116" s="52">
        <v>9.115302530000001</v>
      </c>
      <c r="F116" s="52">
        <v>48.000485010000006</v>
      </c>
    </row>
    <row r="117" spans="2:6" x14ac:dyDescent="0.25">
      <c r="B117" s="53" t="s">
        <v>255</v>
      </c>
      <c r="C117" s="52">
        <v>16.894018710000001</v>
      </c>
      <c r="D117" s="52">
        <v>13.699862020000001</v>
      </c>
      <c r="E117" s="52">
        <v>6.8030186600000011</v>
      </c>
      <c r="F117" s="52">
        <v>37.396899390000002</v>
      </c>
    </row>
    <row r="118" spans="2:6" x14ac:dyDescent="0.25">
      <c r="B118" s="53" t="s">
        <v>300</v>
      </c>
      <c r="C118" s="52">
        <v>13.31077404</v>
      </c>
      <c r="D118" s="52">
        <v>10.014451080000001</v>
      </c>
      <c r="E118" s="52">
        <v>4.9588378800000008</v>
      </c>
      <c r="F118" s="52">
        <v>28.284063</v>
      </c>
    </row>
    <row r="119" spans="2:6" x14ac:dyDescent="0.25">
      <c r="B119" s="53" t="s">
        <v>301</v>
      </c>
      <c r="C119" s="52">
        <v>13.824235950000002</v>
      </c>
      <c r="D119" s="52">
        <v>10.415743680000002</v>
      </c>
      <c r="E119" s="52">
        <v>5.1666326500000004</v>
      </c>
      <c r="F119" s="52">
        <v>29.406612280000004</v>
      </c>
    </row>
    <row r="120" spans="2:6" x14ac:dyDescent="0.25">
      <c r="B120" s="53" t="s">
        <v>256</v>
      </c>
      <c r="C120" s="52">
        <v>14.158867770000002</v>
      </c>
      <c r="D120" s="52">
        <v>10.980106580000001</v>
      </c>
      <c r="E120" s="52">
        <v>5.5319680700000005</v>
      </c>
      <c r="F120" s="52">
        <v>30.670942420000006</v>
      </c>
    </row>
    <row r="121" spans="2:6" x14ac:dyDescent="0.25">
      <c r="B121" s="53" t="s">
        <v>302</v>
      </c>
      <c r="C121" s="52">
        <v>21.566945610000005</v>
      </c>
      <c r="D121" s="52">
        <v>18.978130810000003</v>
      </c>
      <c r="E121" s="52">
        <v>9.512824160000001</v>
      </c>
      <c r="F121" s="52">
        <v>50.057900580000009</v>
      </c>
    </row>
    <row r="122" spans="2:6" x14ac:dyDescent="0.25">
      <c r="B122" s="53" t="s">
        <v>303</v>
      </c>
      <c r="C122" s="52">
        <v>28.085505780000005</v>
      </c>
      <c r="D122" s="52">
        <v>26.089638000000004</v>
      </c>
      <c r="E122" s="52">
        <v>13.297177610000002</v>
      </c>
      <c r="F122" s="52">
        <v>67.472321390000019</v>
      </c>
    </row>
    <row r="123" spans="2:6" x14ac:dyDescent="0.25">
      <c r="B123" s="53" t="s">
        <v>257</v>
      </c>
      <c r="C123" s="52">
        <v>33.726315240000005</v>
      </c>
      <c r="D123" s="52">
        <v>32.153954540000001</v>
      </c>
      <c r="E123" s="52">
        <v>16.49880143</v>
      </c>
      <c r="F123" s="52">
        <v>82.379071210000006</v>
      </c>
    </row>
    <row r="124" spans="2:6" x14ac:dyDescent="0.25">
      <c r="B124" s="53" t="s">
        <v>253</v>
      </c>
      <c r="C124" s="52">
        <v>286.74376221000006</v>
      </c>
      <c r="D124" s="52">
        <v>260.71980750000006</v>
      </c>
      <c r="E124" s="52">
        <v>132.09201300000001</v>
      </c>
      <c r="F124" s="52">
        <v>679.55558271000007</v>
      </c>
    </row>
  </sheetData>
  <sheetProtection algorithmName="SHA-512" hashValue="2YS8vb7pRFWsdDvgo7OWBdDCKLjjwzgH/f1h46fyXBml/ct2s5WpLPvR0f54t2JE8BgprkJuLaFRDD+XbcYMrw==" saltValue="PugWJN2XPBmiMR5SptZWGQ==" spinCount="100000" sheet="1" objects="1" scenarios="1"/>
  <dataValidations count="2">
    <dataValidation type="list" allowBlank="1" sqref="D6:D101" xr:uid="{00000000-0002-0000-0100-000000000000}">
      <formula1>"Toronto Office,Calgary Office,Vancouver Office"</formula1>
      <formula2>0</formula2>
    </dataValidation>
    <dataValidation type="list" allowBlank="1" sqref="E6:E101" xr:uid="{00000000-0002-0000-0100-000001000000}">
      <formula1>"Ontario,Alberta,British Columbia"</formula1>
      <formula2>0</formula2>
    </dataValidation>
  </dataValidations>
  <pageMargins left="0.75" right="0.75" top="1" bottom="1" header="0.511811023622047" footer="0.511811023622047"/>
  <pageSetup paperSize="9" orientation="portrait" horizontalDpi="300" verticalDpi="300"/>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xr:uid="{00000000-0002-0000-0100-000002000000}">
          <x14:formula1>
            <xm:f>'Emission Factors DB'!$B$6:$B$13</xm:f>
          </x14:formula1>
          <x14:formula2>
            <xm:f>0</xm:f>
          </x14:formula2>
          <xm:sqref>J6:J101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N65"/>
  <sheetViews>
    <sheetView showGridLines="0" zoomScale="115" zoomScaleNormal="115" workbookViewId="0">
      <pane xSplit="2" ySplit="5" topLeftCell="C30" activePane="bottomRight" state="frozen"/>
      <selection pane="topRight" activeCell="C1" sqref="C1"/>
      <selection pane="bottomLeft" activeCell="A6" sqref="A6"/>
      <selection pane="bottomRight" activeCell="N51" sqref="N51"/>
    </sheetView>
  </sheetViews>
  <sheetFormatPr defaultColWidth="8.7109375" defaultRowHeight="15" x14ac:dyDescent="0.25"/>
  <cols>
    <col min="1" max="1" width="2" customWidth="1"/>
    <col min="2" max="2" width="13.140625" bestFit="1" customWidth="1"/>
    <col min="3" max="3" width="12" customWidth="1"/>
    <col min="4" max="4" width="17" customWidth="1"/>
    <col min="5" max="5" width="19" customWidth="1"/>
    <col min="6" max="6" width="22" customWidth="1"/>
    <col min="7" max="7" width="8" customWidth="1"/>
    <col min="8" max="8" width="16" customWidth="1"/>
    <col min="9" max="9" width="22" customWidth="1"/>
    <col min="10" max="10" width="16" customWidth="1"/>
    <col min="11" max="11" width="13" customWidth="1"/>
    <col min="12" max="12" width="12" customWidth="1"/>
    <col min="13" max="13" width="40" customWidth="1"/>
    <col min="14" max="14" width="59.42578125" bestFit="1" customWidth="1"/>
  </cols>
  <sheetData>
    <row r="2" spans="2:14" ht="18" x14ac:dyDescent="0.25">
      <c r="B2" s="4" t="s">
        <v>105</v>
      </c>
    </row>
    <row r="3" spans="2:14" x14ac:dyDescent="0.25">
      <c r="B3" s="3" t="s">
        <v>106</v>
      </c>
    </row>
    <row r="5" spans="2:14" ht="31.5" customHeight="1" x14ac:dyDescent="0.25">
      <c r="B5" s="5" t="s">
        <v>32</v>
      </c>
      <c r="C5" s="6" t="s">
        <v>33</v>
      </c>
      <c r="D5" s="6" t="s">
        <v>34</v>
      </c>
      <c r="E5" s="6" t="s">
        <v>7</v>
      </c>
      <c r="F5" s="6" t="s">
        <v>107</v>
      </c>
      <c r="G5" s="6" t="s">
        <v>38</v>
      </c>
      <c r="H5" s="6" t="s">
        <v>39</v>
      </c>
      <c r="I5" s="6" t="s">
        <v>108</v>
      </c>
      <c r="J5" s="6" t="s">
        <v>41</v>
      </c>
      <c r="K5" s="6" t="s">
        <v>42</v>
      </c>
      <c r="L5" s="6" t="s">
        <v>3</v>
      </c>
      <c r="M5" s="6" t="s">
        <v>43</v>
      </c>
      <c r="N5" s="7" t="s">
        <v>44</v>
      </c>
    </row>
    <row r="6" spans="2:14" ht="15" customHeight="1" x14ac:dyDescent="0.25">
      <c r="B6" s="43" t="s">
        <v>109</v>
      </c>
      <c r="C6" s="44">
        <v>46053</v>
      </c>
      <c r="D6" s="29" t="s">
        <v>8</v>
      </c>
      <c r="E6" s="29" t="s">
        <v>9</v>
      </c>
      <c r="F6" s="45">
        <v>60000</v>
      </c>
      <c r="G6" s="28" t="s">
        <v>110</v>
      </c>
      <c r="H6" s="28" t="s">
        <v>111</v>
      </c>
      <c r="I6" s="46">
        <f>_xlfn.XLOOKUP(tblScope2[[#This Row],[EF ID]],tblEF[EF ID],tblEF[Aggregated EF],"To check",0)</f>
        <v>5.8999999999999997E-2</v>
      </c>
      <c r="J6" s="28" t="str">
        <f>_xlfn.XLOOKUP(tblScope2[[#This Row],[EF ID]],tblEF[EF ID],tblEF[Aggregated EF Unit],"To check",0)</f>
        <v>kg CO₂e/kWh</v>
      </c>
      <c r="K6" s="47">
        <f t="shared" ref="K6" si="0">IF(ISNUMBER($I6),$F6*$I6,"Check EF ID")</f>
        <v>3540</v>
      </c>
      <c r="L6" s="48">
        <f t="shared" ref="L6" si="1">IF(ISNUMBER($K6),$K6/1000,"Check EF ID")</f>
        <v>3.54</v>
      </c>
      <c r="M6" s="29" t="s">
        <v>284</v>
      </c>
      <c r="N6" s="49" t="s">
        <v>112</v>
      </c>
    </row>
    <row r="7" spans="2:14" ht="15" customHeight="1" x14ac:dyDescent="0.25">
      <c r="B7" s="43" t="s">
        <v>113</v>
      </c>
      <c r="C7" s="44">
        <v>46081</v>
      </c>
      <c r="D7" s="29" t="s">
        <v>8</v>
      </c>
      <c r="E7" s="29" t="s">
        <v>9</v>
      </c>
      <c r="F7" s="45">
        <v>61000</v>
      </c>
      <c r="G7" s="28" t="s">
        <v>110</v>
      </c>
      <c r="H7" s="28" t="s">
        <v>111</v>
      </c>
      <c r="I7" s="46">
        <f>_xlfn.XLOOKUP(tblScope2[[#This Row],[EF ID]],tblEF[EF ID],tblEF[Aggregated EF],"To check",0)</f>
        <v>5.8999999999999997E-2</v>
      </c>
      <c r="J7" s="28" t="str">
        <f>_xlfn.XLOOKUP(tblScope2[[#This Row],[EF ID]],tblEF[EF ID],tblEF[Aggregated EF Unit],"To check",0)</f>
        <v>kg CO₂e/kWh</v>
      </c>
      <c r="K7" s="47">
        <f t="shared" ref="K7:K41" si="2">IF(ISNUMBER($I7),$F7*$I7,"Check EF ID")</f>
        <v>3599</v>
      </c>
      <c r="L7" s="48">
        <f t="shared" ref="L7:L41" si="3">IF(ISNUMBER($K7),$K7/1000,"Check EF ID")</f>
        <v>3.5990000000000002</v>
      </c>
      <c r="M7" s="29" t="s">
        <v>285</v>
      </c>
      <c r="N7" s="49" t="s">
        <v>112</v>
      </c>
    </row>
    <row r="8" spans="2:14" ht="15" customHeight="1" x14ac:dyDescent="0.25">
      <c r="B8" s="43" t="s">
        <v>114</v>
      </c>
      <c r="C8" s="44">
        <v>46112</v>
      </c>
      <c r="D8" s="29" t="s">
        <v>8</v>
      </c>
      <c r="E8" s="29" t="s">
        <v>9</v>
      </c>
      <c r="F8" s="45">
        <v>65000</v>
      </c>
      <c r="G8" s="28" t="s">
        <v>110</v>
      </c>
      <c r="H8" s="28" t="s">
        <v>111</v>
      </c>
      <c r="I8" s="46">
        <f>_xlfn.XLOOKUP(tblScope2[[#This Row],[EF ID]],tblEF[EF ID],tblEF[Aggregated EF],"To check",0)</f>
        <v>5.8999999999999997E-2</v>
      </c>
      <c r="J8" s="28" t="str">
        <f>_xlfn.XLOOKUP(tblScope2[[#This Row],[EF ID]],tblEF[EF ID],tblEF[Aggregated EF Unit],"To check",0)</f>
        <v>kg CO₂e/kWh</v>
      </c>
      <c r="K8" s="47">
        <f t="shared" si="2"/>
        <v>3835</v>
      </c>
      <c r="L8" s="48">
        <f t="shared" si="3"/>
        <v>3.835</v>
      </c>
      <c r="M8" s="29" t="s">
        <v>286</v>
      </c>
      <c r="N8" s="49" t="s">
        <v>112</v>
      </c>
    </row>
    <row r="9" spans="2:14" ht="15" customHeight="1" x14ac:dyDescent="0.25">
      <c r="B9" s="43" t="s">
        <v>115</v>
      </c>
      <c r="C9" s="44">
        <v>46142</v>
      </c>
      <c r="D9" s="29" t="s">
        <v>8</v>
      </c>
      <c r="E9" s="29" t="s">
        <v>9</v>
      </c>
      <c r="F9" s="45">
        <v>66000</v>
      </c>
      <c r="G9" s="28" t="s">
        <v>110</v>
      </c>
      <c r="H9" s="28" t="s">
        <v>111</v>
      </c>
      <c r="I9" s="46">
        <f>_xlfn.XLOOKUP(tblScope2[[#This Row],[EF ID]],tblEF[EF ID],tblEF[Aggregated EF],"To check",0)</f>
        <v>5.8999999999999997E-2</v>
      </c>
      <c r="J9" s="28" t="str">
        <f>_xlfn.XLOOKUP(tblScope2[[#This Row],[EF ID]],tblEF[EF ID],tblEF[Aggregated EF Unit],"To check",0)</f>
        <v>kg CO₂e/kWh</v>
      </c>
      <c r="K9" s="47">
        <f t="shared" si="2"/>
        <v>3894</v>
      </c>
      <c r="L9" s="48">
        <f t="shared" si="3"/>
        <v>3.8940000000000001</v>
      </c>
      <c r="M9" s="29" t="s">
        <v>287</v>
      </c>
      <c r="N9" s="49" t="s">
        <v>112</v>
      </c>
    </row>
    <row r="10" spans="2:14" ht="15" customHeight="1" x14ac:dyDescent="0.25">
      <c r="B10" s="43" t="s">
        <v>116</v>
      </c>
      <c r="C10" s="44">
        <v>46173</v>
      </c>
      <c r="D10" s="29" t="s">
        <v>8</v>
      </c>
      <c r="E10" s="29" t="s">
        <v>9</v>
      </c>
      <c r="F10" s="45">
        <v>67000</v>
      </c>
      <c r="G10" s="28" t="s">
        <v>110</v>
      </c>
      <c r="H10" s="28" t="s">
        <v>111</v>
      </c>
      <c r="I10" s="46">
        <f>_xlfn.XLOOKUP(tblScope2[[#This Row],[EF ID]],tblEF[EF ID],tblEF[Aggregated EF],"To check",0)</f>
        <v>5.8999999999999997E-2</v>
      </c>
      <c r="J10" s="28" t="str">
        <f>_xlfn.XLOOKUP(tblScope2[[#This Row],[EF ID]],tblEF[EF ID],tblEF[Aggregated EF Unit],"To check",0)</f>
        <v>kg CO₂e/kWh</v>
      </c>
      <c r="K10" s="47">
        <f t="shared" si="2"/>
        <v>3953</v>
      </c>
      <c r="L10" s="48">
        <f t="shared" si="3"/>
        <v>3.9529999999999998</v>
      </c>
      <c r="M10" s="29" t="s">
        <v>288</v>
      </c>
      <c r="N10" s="49" t="s">
        <v>112</v>
      </c>
    </row>
    <row r="11" spans="2:14" ht="15" customHeight="1" x14ac:dyDescent="0.25">
      <c r="B11" s="43" t="s">
        <v>119</v>
      </c>
      <c r="C11" s="44">
        <v>46203</v>
      </c>
      <c r="D11" s="29" t="s">
        <v>8</v>
      </c>
      <c r="E11" s="29" t="s">
        <v>9</v>
      </c>
      <c r="F11" s="45">
        <v>68000</v>
      </c>
      <c r="G11" s="28" t="s">
        <v>110</v>
      </c>
      <c r="H11" s="28" t="s">
        <v>111</v>
      </c>
      <c r="I11" s="46">
        <f>_xlfn.XLOOKUP(tblScope2[[#This Row],[EF ID]],tblEF[EF ID],tblEF[Aggregated EF],"To check",0)</f>
        <v>5.8999999999999997E-2</v>
      </c>
      <c r="J11" s="28" t="str">
        <f>_xlfn.XLOOKUP(tblScope2[[#This Row],[EF ID]],tblEF[EF ID],tblEF[Aggregated EF Unit],"To check",0)</f>
        <v>kg CO₂e/kWh</v>
      </c>
      <c r="K11" s="47">
        <f t="shared" si="2"/>
        <v>4012</v>
      </c>
      <c r="L11" s="48">
        <f t="shared" si="3"/>
        <v>4.0119999999999996</v>
      </c>
      <c r="M11" s="29" t="s">
        <v>289</v>
      </c>
      <c r="N11" s="49" t="s">
        <v>112</v>
      </c>
    </row>
    <row r="12" spans="2:14" ht="15" customHeight="1" x14ac:dyDescent="0.25">
      <c r="B12" s="43" t="s">
        <v>120</v>
      </c>
      <c r="C12" s="44">
        <v>46234</v>
      </c>
      <c r="D12" s="29" t="s">
        <v>8</v>
      </c>
      <c r="E12" s="29" t="s">
        <v>9</v>
      </c>
      <c r="F12" s="45">
        <v>76000</v>
      </c>
      <c r="G12" s="28" t="s">
        <v>110</v>
      </c>
      <c r="H12" s="28" t="s">
        <v>111</v>
      </c>
      <c r="I12" s="46">
        <f>_xlfn.XLOOKUP(tblScope2[[#This Row],[EF ID]],tblEF[EF ID],tblEF[Aggregated EF],"To check",0)</f>
        <v>5.8999999999999997E-2</v>
      </c>
      <c r="J12" s="28" t="str">
        <f>_xlfn.XLOOKUP(tblScope2[[#This Row],[EF ID]],tblEF[EF ID],tblEF[Aggregated EF Unit],"To check",0)</f>
        <v>kg CO₂e/kWh</v>
      </c>
      <c r="K12" s="47">
        <f t="shared" si="2"/>
        <v>4484</v>
      </c>
      <c r="L12" s="48">
        <f t="shared" si="3"/>
        <v>4.484</v>
      </c>
      <c r="M12" s="29" t="s">
        <v>290</v>
      </c>
      <c r="N12" s="49" t="s">
        <v>112</v>
      </c>
    </row>
    <row r="13" spans="2:14" ht="15" customHeight="1" x14ac:dyDescent="0.25">
      <c r="B13" s="43" t="s">
        <v>121</v>
      </c>
      <c r="C13" s="44">
        <v>46265</v>
      </c>
      <c r="D13" s="29" t="s">
        <v>8</v>
      </c>
      <c r="E13" s="29" t="s">
        <v>9</v>
      </c>
      <c r="F13" s="45">
        <v>80000</v>
      </c>
      <c r="G13" s="28" t="s">
        <v>110</v>
      </c>
      <c r="H13" s="28" t="s">
        <v>111</v>
      </c>
      <c r="I13" s="46">
        <f>_xlfn.XLOOKUP(tblScope2[[#This Row],[EF ID]],tblEF[EF ID],tblEF[Aggregated EF],"To check",0)</f>
        <v>5.8999999999999997E-2</v>
      </c>
      <c r="J13" s="28" t="str">
        <f>_xlfn.XLOOKUP(tblScope2[[#This Row],[EF ID]],tblEF[EF ID],tblEF[Aggregated EF Unit],"To check",0)</f>
        <v>kg CO₂e/kWh</v>
      </c>
      <c r="K13" s="47">
        <f t="shared" si="2"/>
        <v>4720</v>
      </c>
      <c r="L13" s="48">
        <f t="shared" si="3"/>
        <v>4.72</v>
      </c>
      <c r="M13" s="29" t="s">
        <v>291</v>
      </c>
      <c r="N13" s="49" t="s">
        <v>112</v>
      </c>
    </row>
    <row r="14" spans="2:14" ht="15" customHeight="1" x14ac:dyDescent="0.25">
      <c r="B14" s="43" t="s">
        <v>122</v>
      </c>
      <c r="C14" s="44">
        <v>46295</v>
      </c>
      <c r="D14" s="29" t="s">
        <v>8</v>
      </c>
      <c r="E14" s="29" t="s">
        <v>9</v>
      </c>
      <c r="F14" s="45">
        <v>82000</v>
      </c>
      <c r="G14" s="28" t="s">
        <v>110</v>
      </c>
      <c r="H14" s="28" t="s">
        <v>111</v>
      </c>
      <c r="I14" s="46">
        <f>_xlfn.XLOOKUP(tblScope2[[#This Row],[EF ID]],tblEF[EF ID],tblEF[Aggregated EF],"To check",0)</f>
        <v>5.8999999999999997E-2</v>
      </c>
      <c r="J14" s="28" t="str">
        <f>_xlfn.XLOOKUP(tblScope2[[#This Row],[EF ID]],tblEF[EF ID],tblEF[Aggregated EF Unit],"To check",0)</f>
        <v>kg CO₂e/kWh</v>
      </c>
      <c r="K14" s="47">
        <f t="shared" si="2"/>
        <v>4838</v>
      </c>
      <c r="L14" s="48">
        <f t="shared" si="3"/>
        <v>4.8380000000000001</v>
      </c>
      <c r="M14" s="29" t="s">
        <v>292</v>
      </c>
      <c r="N14" s="49" t="s">
        <v>112</v>
      </c>
    </row>
    <row r="15" spans="2:14" ht="15" customHeight="1" x14ac:dyDescent="0.25">
      <c r="B15" s="43" t="s">
        <v>125</v>
      </c>
      <c r="C15" s="44">
        <v>46326</v>
      </c>
      <c r="D15" s="29" t="s">
        <v>8</v>
      </c>
      <c r="E15" s="29" t="s">
        <v>9</v>
      </c>
      <c r="F15" s="45">
        <v>67000</v>
      </c>
      <c r="G15" s="28" t="s">
        <v>110</v>
      </c>
      <c r="H15" s="28" t="s">
        <v>111</v>
      </c>
      <c r="I15" s="46">
        <f>_xlfn.XLOOKUP(tblScope2[[#This Row],[EF ID]],tblEF[EF ID],tblEF[Aggregated EF],"To check",0)</f>
        <v>5.8999999999999997E-2</v>
      </c>
      <c r="J15" s="28" t="str">
        <f>_xlfn.XLOOKUP(tblScope2[[#This Row],[EF ID]],tblEF[EF ID],tblEF[Aggregated EF Unit],"To check",0)</f>
        <v>kg CO₂e/kWh</v>
      </c>
      <c r="K15" s="47">
        <f t="shared" si="2"/>
        <v>3953</v>
      </c>
      <c r="L15" s="48">
        <f t="shared" si="3"/>
        <v>3.9529999999999998</v>
      </c>
      <c r="M15" s="29" t="s">
        <v>293</v>
      </c>
      <c r="N15" s="49" t="s">
        <v>112</v>
      </c>
    </row>
    <row r="16" spans="2:14" ht="15" customHeight="1" x14ac:dyDescent="0.25">
      <c r="B16" s="43" t="s">
        <v>126</v>
      </c>
      <c r="C16" s="44">
        <v>46356</v>
      </c>
      <c r="D16" s="29" t="s">
        <v>8</v>
      </c>
      <c r="E16" s="29" t="s">
        <v>9</v>
      </c>
      <c r="F16" s="45">
        <v>64000</v>
      </c>
      <c r="G16" s="28" t="s">
        <v>110</v>
      </c>
      <c r="H16" s="28" t="s">
        <v>111</v>
      </c>
      <c r="I16" s="46">
        <f>_xlfn.XLOOKUP(tblScope2[[#This Row],[EF ID]],tblEF[EF ID],tblEF[Aggregated EF],"To check",0)</f>
        <v>5.8999999999999997E-2</v>
      </c>
      <c r="J16" s="28" t="str">
        <f>_xlfn.XLOOKUP(tblScope2[[#This Row],[EF ID]],tblEF[EF ID],tblEF[Aggregated EF Unit],"To check",0)</f>
        <v>kg CO₂e/kWh</v>
      </c>
      <c r="K16" s="47">
        <f t="shared" si="2"/>
        <v>3776</v>
      </c>
      <c r="L16" s="48">
        <f t="shared" si="3"/>
        <v>3.7759999999999998</v>
      </c>
      <c r="M16" s="29" t="s">
        <v>294</v>
      </c>
      <c r="N16" s="49" t="s">
        <v>112</v>
      </c>
    </row>
    <row r="17" spans="2:14" ht="15" customHeight="1" x14ac:dyDescent="0.25">
      <c r="B17" s="43" t="s">
        <v>127</v>
      </c>
      <c r="C17" s="44">
        <v>46387</v>
      </c>
      <c r="D17" s="29" t="s">
        <v>8</v>
      </c>
      <c r="E17" s="29" t="s">
        <v>9</v>
      </c>
      <c r="F17" s="45">
        <v>61000</v>
      </c>
      <c r="G17" s="28" t="s">
        <v>110</v>
      </c>
      <c r="H17" s="28" t="s">
        <v>111</v>
      </c>
      <c r="I17" s="46">
        <f>_xlfn.XLOOKUP(tblScope2[[#This Row],[EF ID]],tblEF[EF ID],tblEF[Aggregated EF],"To check",0)</f>
        <v>5.8999999999999997E-2</v>
      </c>
      <c r="J17" s="28" t="str">
        <f>_xlfn.XLOOKUP(tblScope2[[#This Row],[EF ID]],tblEF[EF ID],tblEF[Aggregated EF Unit],"To check",0)</f>
        <v>kg CO₂e/kWh</v>
      </c>
      <c r="K17" s="47">
        <f t="shared" si="2"/>
        <v>3599</v>
      </c>
      <c r="L17" s="48">
        <f t="shared" si="3"/>
        <v>3.5990000000000002</v>
      </c>
      <c r="M17" s="29" t="s">
        <v>295</v>
      </c>
      <c r="N17" s="49" t="s">
        <v>112</v>
      </c>
    </row>
    <row r="18" spans="2:14" ht="15" customHeight="1" x14ac:dyDescent="0.25">
      <c r="B18" s="43" t="s">
        <v>260</v>
      </c>
      <c r="C18" s="44">
        <v>46053</v>
      </c>
      <c r="D18" s="29" t="s">
        <v>10</v>
      </c>
      <c r="E18" s="29" t="s">
        <v>11</v>
      </c>
      <c r="F18" s="45">
        <v>45000</v>
      </c>
      <c r="G18" s="28" t="s">
        <v>110</v>
      </c>
      <c r="H18" s="28" t="s">
        <v>117</v>
      </c>
      <c r="I18" s="46">
        <f>_xlfn.XLOOKUP(tblScope2[[#This Row],[EF ID]],tblEF[EF ID],tblEF[Aggregated EF],"To check",0)</f>
        <v>0.438</v>
      </c>
      <c r="J18" s="28" t="str">
        <f>_xlfn.XLOOKUP(tblScope2[[#This Row],[EF ID]],tblEF[EF ID],tblEF[Aggregated EF Unit],"To check",0)</f>
        <v>kg CO₂e/kWh</v>
      </c>
      <c r="K18" s="47">
        <f t="shared" si="2"/>
        <v>19710</v>
      </c>
      <c r="L18" s="48">
        <f t="shared" si="3"/>
        <v>19.71</v>
      </c>
      <c r="M18" s="29" t="s">
        <v>284</v>
      </c>
      <c r="N18" s="49" t="s">
        <v>118</v>
      </c>
    </row>
    <row r="19" spans="2:14" x14ac:dyDescent="0.25">
      <c r="B19" s="43" t="s">
        <v>261</v>
      </c>
      <c r="C19" s="44">
        <v>46081</v>
      </c>
      <c r="D19" s="29" t="s">
        <v>10</v>
      </c>
      <c r="E19" s="29" t="s">
        <v>11</v>
      </c>
      <c r="F19" s="45">
        <v>47000</v>
      </c>
      <c r="G19" s="28" t="s">
        <v>110</v>
      </c>
      <c r="H19" s="28" t="s">
        <v>117</v>
      </c>
      <c r="I19" s="46">
        <f>_xlfn.XLOOKUP(tblScope2[[#This Row],[EF ID]],tblEF[EF ID],tblEF[Aggregated EF],"To check",0)</f>
        <v>0.438</v>
      </c>
      <c r="J19" s="28" t="str">
        <f>_xlfn.XLOOKUP(tblScope2[[#This Row],[EF ID]],tblEF[EF ID],tblEF[Aggregated EF Unit],"To check",0)</f>
        <v>kg CO₂e/kWh</v>
      </c>
      <c r="K19" s="47">
        <f t="shared" si="2"/>
        <v>20586</v>
      </c>
      <c r="L19" s="48">
        <f t="shared" si="3"/>
        <v>20.585999999999999</v>
      </c>
      <c r="M19" s="29" t="s">
        <v>285</v>
      </c>
      <c r="N19" s="49" t="s">
        <v>118</v>
      </c>
    </row>
    <row r="20" spans="2:14" x14ac:dyDescent="0.25">
      <c r="B20" s="43" t="s">
        <v>262</v>
      </c>
      <c r="C20" s="44">
        <v>46112</v>
      </c>
      <c r="D20" s="29" t="s">
        <v>10</v>
      </c>
      <c r="E20" s="29" t="s">
        <v>11</v>
      </c>
      <c r="F20" s="45">
        <v>50000</v>
      </c>
      <c r="G20" s="28" t="s">
        <v>110</v>
      </c>
      <c r="H20" s="28" t="s">
        <v>117</v>
      </c>
      <c r="I20" s="46">
        <f>_xlfn.XLOOKUP(tblScope2[[#This Row],[EF ID]],tblEF[EF ID],tblEF[Aggregated EF],"To check",0)</f>
        <v>0.438</v>
      </c>
      <c r="J20" s="28" t="str">
        <f>_xlfn.XLOOKUP(tblScope2[[#This Row],[EF ID]],tblEF[EF ID],tblEF[Aggregated EF Unit],"To check",0)</f>
        <v>kg CO₂e/kWh</v>
      </c>
      <c r="K20" s="47">
        <f t="shared" si="2"/>
        <v>21900</v>
      </c>
      <c r="L20" s="48">
        <f t="shared" si="3"/>
        <v>21.9</v>
      </c>
      <c r="M20" s="29" t="s">
        <v>286</v>
      </c>
      <c r="N20" s="49" t="s">
        <v>118</v>
      </c>
    </row>
    <row r="21" spans="2:14" x14ac:dyDescent="0.25">
      <c r="B21" s="43" t="s">
        <v>263</v>
      </c>
      <c r="C21" s="44">
        <v>46142</v>
      </c>
      <c r="D21" s="29" t="s">
        <v>10</v>
      </c>
      <c r="E21" s="29" t="s">
        <v>11</v>
      </c>
      <c r="F21" s="45">
        <v>49000</v>
      </c>
      <c r="G21" s="28" t="s">
        <v>110</v>
      </c>
      <c r="H21" s="28" t="s">
        <v>117</v>
      </c>
      <c r="I21" s="46">
        <f>_xlfn.XLOOKUP(tblScope2[[#This Row],[EF ID]],tblEF[EF ID],tblEF[Aggregated EF],"To check",0)</f>
        <v>0.438</v>
      </c>
      <c r="J21" s="28" t="str">
        <f>_xlfn.XLOOKUP(tblScope2[[#This Row],[EF ID]],tblEF[EF ID],tblEF[Aggregated EF Unit],"To check",0)</f>
        <v>kg CO₂e/kWh</v>
      </c>
      <c r="K21" s="47">
        <f t="shared" si="2"/>
        <v>21462</v>
      </c>
      <c r="L21" s="48">
        <f t="shared" si="3"/>
        <v>21.462</v>
      </c>
      <c r="M21" s="29" t="s">
        <v>287</v>
      </c>
      <c r="N21" s="49" t="s">
        <v>118</v>
      </c>
    </row>
    <row r="22" spans="2:14" x14ac:dyDescent="0.25">
      <c r="B22" s="43" t="s">
        <v>264</v>
      </c>
      <c r="C22" s="44">
        <v>46173</v>
      </c>
      <c r="D22" s="29" t="s">
        <v>10</v>
      </c>
      <c r="E22" s="29" t="s">
        <v>11</v>
      </c>
      <c r="F22" s="45">
        <v>50000</v>
      </c>
      <c r="G22" s="28" t="s">
        <v>110</v>
      </c>
      <c r="H22" s="28" t="s">
        <v>117</v>
      </c>
      <c r="I22" s="46">
        <f>_xlfn.XLOOKUP(tblScope2[[#This Row],[EF ID]],tblEF[EF ID],tblEF[Aggregated EF],"To check",0)</f>
        <v>0.438</v>
      </c>
      <c r="J22" s="28" t="str">
        <f>_xlfn.XLOOKUP(tblScope2[[#This Row],[EF ID]],tblEF[EF ID],tblEF[Aggregated EF Unit],"To check",0)</f>
        <v>kg CO₂e/kWh</v>
      </c>
      <c r="K22" s="47">
        <f t="shared" si="2"/>
        <v>21900</v>
      </c>
      <c r="L22" s="48">
        <f t="shared" si="3"/>
        <v>21.9</v>
      </c>
      <c r="M22" s="29" t="s">
        <v>288</v>
      </c>
      <c r="N22" s="49" t="s">
        <v>118</v>
      </c>
    </row>
    <row r="23" spans="2:14" x14ac:dyDescent="0.25">
      <c r="B23" s="43" t="s">
        <v>265</v>
      </c>
      <c r="C23" s="44">
        <v>46203</v>
      </c>
      <c r="D23" s="29" t="s">
        <v>10</v>
      </c>
      <c r="E23" s="29" t="s">
        <v>11</v>
      </c>
      <c r="F23" s="45">
        <v>52000</v>
      </c>
      <c r="G23" s="28" t="s">
        <v>110</v>
      </c>
      <c r="H23" s="28" t="s">
        <v>117</v>
      </c>
      <c r="I23" s="46">
        <f>_xlfn.XLOOKUP(tblScope2[[#This Row],[EF ID]],tblEF[EF ID],tblEF[Aggregated EF],"To check",0)</f>
        <v>0.438</v>
      </c>
      <c r="J23" s="28" t="str">
        <f>_xlfn.XLOOKUP(tblScope2[[#This Row],[EF ID]],tblEF[EF ID],tblEF[Aggregated EF Unit],"To check",0)</f>
        <v>kg CO₂e/kWh</v>
      </c>
      <c r="K23" s="47">
        <f t="shared" si="2"/>
        <v>22776</v>
      </c>
      <c r="L23" s="48">
        <f t="shared" si="3"/>
        <v>22.776</v>
      </c>
      <c r="M23" s="29" t="s">
        <v>289</v>
      </c>
      <c r="N23" s="49" t="s">
        <v>118</v>
      </c>
    </row>
    <row r="24" spans="2:14" x14ac:dyDescent="0.25">
      <c r="B24" s="43" t="s">
        <v>266</v>
      </c>
      <c r="C24" s="44">
        <v>46234</v>
      </c>
      <c r="D24" s="29" t="s">
        <v>10</v>
      </c>
      <c r="E24" s="29" t="s">
        <v>11</v>
      </c>
      <c r="F24" s="45">
        <v>56000</v>
      </c>
      <c r="G24" s="28" t="s">
        <v>110</v>
      </c>
      <c r="H24" s="28" t="s">
        <v>117</v>
      </c>
      <c r="I24" s="46">
        <f>_xlfn.XLOOKUP(tblScope2[[#This Row],[EF ID]],tblEF[EF ID],tblEF[Aggregated EF],"To check",0)</f>
        <v>0.438</v>
      </c>
      <c r="J24" s="28" t="str">
        <f>_xlfn.XLOOKUP(tblScope2[[#This Row],[EF ID]],tblEF[EF ID],tblEF[Aggregated EF Unit],"To check",0)</f>
        <v>kg CO₂e/kWh</v>
      </c>
      <c r="K24" s="47">
        <f t="shared" si="2"/>
        <v>24528</v>
      </c>
      <c r="L24" s="48">
        <f t="shared" si="3"/>
        <v>24.527999999999999</v>
      </c>
      <c r="M24" s="29" t="s">
        <v>290</v>
      </c>
      <c r="N24" s="49" t="s">
        <v>118</v>
      </c>
    </row>
    <row r="25" spans="2:14" x14ac:dyDescent="0.25">
      <c r="B25" s="43" t="s">
        <v>267</v>
      </c>
      <c r="C25" s="44">
        <v>46265</v>
      </c>
      <c r="D25" s="29" t="s">
        <v>10</v>
      </c>
      <c r="E25" s="29" t="s">
        <v>11</v>
      </c>
      <c r="F25" s="45">
        <v>59000</v>
      </c>
      <c r="G25" s="28" t="s">
        <v>110</v>
      </c>
      <c r="H25" s="28" t="s">
        <v>117</v>
      </c>
      <c r="I25" s="46">
        <f>_xlfn.XLOOKUP(tblScope2[[#This Row],[EF ID]],tblEF[EF ID],tblEF[Aggregated EF],"To check",0)</f>
        <v>0.438</v>
      </c>
      <c r="J25" s="28" t="str">
        <f>_xlfn.XLOOKUP(tblScope2[[#This Row],[EF ID]],tblEF[EF ID],tblEF[Aggregated EF Unit],"To check",0)</f>
        <v>kg CO₂e/kWh</v>
      </c>
      <c r="K25" s="47">
        <f t="shared" si="2"/>
        <v>25842</v>
      </c>
      <c r="L25" s="48">
        <f t="shared" si="3"/>
        <v>25.841999999999999</v>
      </c>
      <c r="M25" s="29" t="s">
        <v>291</v>
      </c>
      <c r="N25" s="49" t="s">
        <v>118</v>
      </c>
    </row>
    <row r="26" spans="2:14" x14ac:dyDescent="0.25">
      <c r="B26" s="43" t="s">
        <v>268</v>
      </c>
      <c r="C26" s="44">
        <v>46295</v>
      </c>
      <c r="D26" s="29" t="s">
        <v>10</v>
      </c>
      <c r="E26" s="29" t="s">
        <v>11</v>
      </c>
      <c r="F26" s="45">
        <v>63000</v>
      </c>
      <c r="G26" s="28" t="s">
        <v>110</v>
      </c>
      <c r="H26" s="28" t="s">
        <v>117</v>
      </c>
      <c r="I26" s="46">
        <f>_xlfn.XLOOKUP(tblScope2[[#This Row],[EF ID]],tblEF[EF ID],tblEF[Aggregated EF],"To check",0)</f>
        <v>0.438</v>
      </c>
      <c r="J26" s="28" t="str">
        <f>_xlfn.XLOOKUP(tblScope2[[#This Row],[EF ID]],tblEF[EF ID],tblEF[Aggregated EF Unit],"To check",0)</f>
        <v>kg CO₂e/kWh</v>
      </c>
      <c r="K26" s="47">
        <f t="shared" si="2"/>
        <v>27594</v>
      </c>
      <c r="L26" s="48">
        <f t="shared" si="3"/>
        <v>27.594000000000001</v>
      </c>
      <c r="M26" s="29" t="s">
        <v>292</v>
      </c>
      <c r="N26" s="49" t="s">
        <v>118</v>
      </c>
    </row>
    <row r="27" spans="2:14" x14ac:dyDescent="0.25">
      <c r="B27" s="43" t="s">
        <v>269</v>
      </c>
      <c r="C27" s="44">
        <v>46326</v>
      </c>
      <c r="D27" s="29" t="s">
        <v>10</v>
      </c>
      <c r="E27" s="29" t="s">
        <v>11</v>
      </c>
      <c r="F27" s="45">
        <v>52000</v>
      </c>
      <c r="G27" s="28" t="s">
        <v>110</v>
      </c>
      <c r="H27" s="28" t="s">
        <v>117</v>
      </c>
      <c r="I27" s="46">
        <f>_xlfn.XLOOKUP(tblScope2[[#This Row],[EF ID]],tblEF[EF ID],tblEF[Aggregated EF],"To check",0)</f>
        <v>0.438</v>
      </c>
      <c r="J27" s="28" t="str">
        <f>_xlfn.XLOOKUP(tblScope2[[#This Row],[EF ID]],tblEF[EF ID],tblEF[Aggregated EF Unit],"To check",0)</f>
        <v>kg CO₂e/kWh</v>
      </c>
      <c r="K27" s="47">
        <f t="shared" si="2"/>
        <v>22776</v>
      </c>
      <c r="L27" s="48">
        <f t="shared" si="3"/>
        <v>22.776</v>
      </c>
      <c r="M27" s="29" t="s">
        <v>293</v>
      </c>
      <c r="N27" s="49" t="s">
        <v>118</v>
      </c>
    </row>
    <row r="28" spans="2:14" x14ac:dyDescent="0.25">
      <c r="B28" s="43" t="s">
        <v>270</v>
      </c>
      <c r="C28" s="44">
        <v>46356</v>
      </c>
      <c r="D28" s="29" t="s">
        <v>10</v>
      </c>
      <c r="E28" s="29" t="s">
        <v>11</v>
      </c>
      <c r="F28" s="45">
        <v>49000</v>
      </c>
      <c r="G28" s="28" t="s">
        <v>110</v>
      </c>
      <c r="H28" s="28" t="s">
        <v>117</v>
      </c>
      <c r="I28" s="46">
        <f>_xlfn.XLOOKUP(tblScope2[[#This Row],[EF ID]],tblEF[EF ID],tblEF[Aggregated EF],"To check",0)</f>
        <v>0.438</v>
      </c>
      <c r="J28" s="28" t="str">
        <f>_xlfn.XLOOKUP(tblScope2[[#This Row],[EF ID]],tblEF[EF ID],tblEF[Aggregated EF Unit],"To check",0)</f>
        <v>kg CO₂e/kWh</v>
      </c>
      <c r="K28" s="47">
        <f t="shared" si="2"/>
        <v>21462</v>
      </c>
      <c r="L28" s="48">
        <f t="shared" si="3"/>
        <v>21.462</v>
      </c>
      <c r="M28" s="29" t="s">
        <v>294</v>
      </c>
      <c r="N28" s="49" t="s">
        <v>118</v>
      </c>
    </row>
    <row r="29" spans="2:14" x14ac:dyDescent="0.25">
      <c r="B29" s="43" t="s">
        <v>271</v>
      </c>
      <c r="C29" s="44">
        <v>46387</v>
      </c>
      <c r="D29" s="29" t="s">
        <v>10</v>
      </c>
      <c r="E29" s="29" t="s">
        <v>11</v>
      </c>
      <c r="F29" s="45">
        <v>47000</v>
      </c>
      <c r="G29" s="28" t="s">
        <v>110</v>
      </c>
      <c r="H29" s="28" t="s">
        <v>117</v>
      </c>
      <c r="I29" s="46">
        <f>_xlfn.XLOOKUP(tblScope2[[#This Row],[EF ID]],tblEF[EF ID],tblEF[Aggregated EF],"To check",0)</f>
        <v>0.438</v>
      </c>
      <c r="J29" s="28" t="str">
        <f>_xlfn.XLOOKUP(tblScope2[[#This Row],[EF ID]],tblEF[EF ID],tblEF[Aggregated EF Unit],"To check",0)</f>
        <v>kg CO₂e/kWh</v>
      </c>
      <c r="K29" s="47">
        <f t="shared" si="2"/>
        <v>20586</v>
      </c>
      <c r="L29" s="48">
        <f t="shared" si="3"/>
        <v>20.585999999999999</v>
      </c>
      <c r="M29" s="29" t="s">
        <v>295</v>
      </c>
      <c r="N29" s="49" t="s">
        <v>118</v>
      </c>
    </row>
    <row r="30" spans="2:14" x14ac:dyDescent="0.25">
      <c r="B30" s="43" t="s">
        <v>272</v>
      </c>
      <c r="C30" s="44">
        <v>46053</v>
      </c>
      <c r="D30" s="29" t="s">
        <v>12</v>
      </c>
      <c r="E30" s="29" t="s">
        <v>13</v>
      </c>
      <c r="F30" s="45">
        <v>32000</v>
      </c>
      <c r="G30" s="28" t="s">
        <v>110</v>
      </c>
      <c r="H30" s="28" t="s">
        <v>123</v>
      </c>
      <c r="I30" s="46">
        <f>_xlfn.XLOOKUP(tblScope2[[#This Row],[EF ID]],tblEF[EF ID],tblEF[Aggregated EF],"To check",0)</f>
        <v>1.7999999999999999E-2</v>
      </c>
      <c r="J30" s="28" t="str">
        <f>_xlfn.XLOOKUP(tblScope2[[#This Row],[EF ID]],tblEF[EF ID],tblEF[Aggregated EF Unit],"To check",0)</f>
        <v>kg CO₂e/kWh</v>
      </c>
      <c r="K30" s="47">
        <f t="shared" si="2"/>
        <v>576</v>
      </c>
      <c r="L30" s="48">
        <f t="shared" si="3"/>
        <v>0.57599999999999996</v>
      </c>
      <c r="M30" s="29" t="s">
        <v>284</v>
      </c>
      <c r="N30" s="49" t="s">
        <v>124</v>
      </c>
    </row>
    <row r="31" spans="2:14" x14ac:dyDescent="0.25">
      <c r="B31" s="43" t="s">
        <v>273</v>
      </c>
      <c r="C31" s="44">
        <v>46081</v>
      </c>
      <c r="D31" s="29" t="s">
        <v>12</v>
      </c>
      <c r="E31" s="29" t="s">
        <v>13</v>
      </c>
      <c r="F31" s="45">
        <v>32000</v>
      </c>
      <c r="G31" s="28" t="s">
        <v>110</v>
      </c>
      <c r="H31" s="28" t="s">
        <v>123</v>
      </c>
      <c r="I31" s="46">
        <f>_xlfn.XLOOKUP(tblScope2[[#This Row],[EF ID]],tblEF[EF ID],tblEF[Aggregated EF],"To check",0)</f>
        <v>1.7999999999999999E-2</v>
      </c>
      <c r="J31" s="28" t="str">
        <f>_xlfn.XLOOKUP(tblScope2[[#This Row],[EF ID]],tblEF[EF ID],tblEF[Aggregated EF Unit],"To check",0)</f>
        <v>kg CO₂e/kWh</v>
      </c>
      <c r="K31" s="47">
        <f t="shared" si="2"/>
        <v>576</v>
      </c>
      <c r="L31" s="48">
        <f t="shared" si="3"/>
        <v>0.57599999999999996</v>
      </c>
      <c r="M31" s="29" t="s">
        <v>285</v>
      </c>
      <c r="N31" s="49" t="s">
        <v>124</v>
      </c>
    </row>
    <row r="32" spans="2:14" x14ac:dyDescent="0.25">
      <c r="B32" s="43" t="s">
        <v>274</v>
      </c>
      <c r="C32" s="44">
        <v>46112</v>
      </c>
      <c r="D32" s="29" t="s">
        <v>12</v>
      </c>
      <c r="E32" s="29" t="s">
        <v>13</v>
      </c>
      <c r="F32" s="45">
        <v>34000</v>
      </c>
      <c r="G32" s="28" t="s">
        <v>110</v>
      </c>
      <c r="H32" s="28" t="s">
        <v>123</v>
      </c>
      <c r="I32" s="46">
        <f>_xlfn.XLOOKUP(tblScope2[[#This Row],[EF ID]],tblEF[EF ID],tblEF[Aggregated EF],"To check",0)</f>
        <v>1.7999999999999999E-2</v>
      </c>
      <c r="J32" s="28" t="str">
        <f>_xlfn.XLOOKUP(tblScope2[[#This Row],[EF ID]],tblEF[EF ID],tblEF[Aggregated EF Unit],"To check",0)</f>
        <v>kg CO₂e/kWh</v>
      </c>
      <c r="K32" s="47">
        <f t="shared" si="2"/>
        <v>612</v>
      </c>
      <c r="L32" s="48">
        <f t="shared" si="3"/>
        <v>0.61199999999999999</v>
      </c>
      <c r="M32" s="29" t="s">
        <v>286</v>
      </c>
      <c r="N32" s="49" t="s">
        <v>124</v>
      </c>
    </row>
    <row r="33" spans="2:14" x14ac:dyDescent="0.25">
      <c r="B33" s="43" t="s">
        <v>275</v>
      </c>
      <c r="C33" s="44">
        <v>46142</v>
      </c>
      <c r="D33" s="29" t="s">
        <v>12</v>
      </c>
      <c r="E33" s="29" t="s">
        <v>13</v>
      </c>
      <c r="F33" s="45">
        <v>34000</v>
      </c>
      <c r="G33" s="28" t="s">
        <v>110</v>
      </c>
      <c r="H33" s="28" t="s">
        <v>123</v>
      </c>
      <c r="I33" s="46">
        <f>_xlfn.XLOOKUP(tblScope2[[#This Row],[EF ID]],tblEF[EF ID],tblEF[Aggregated EF],"To check",0)</f>
        <v>1.7999999999999999E-2</v>
      </c>
      <c r="J33" s="28" t="str">
        <f>_xlfn.XLOOKUP(tblScope2[[#This Row],[EF ID]],tblEF[EF ID],tblEF[Aggregated EF Unit],"To check",0)</f>
        <v>kg CO₂e/kWh</v>
      </c>
      <c r="K33" s="47">
        <f t="shared" si="2"/>
        <v>612</v>
      </c>
      <c r="L33" s="48">
        <f t="shared" si="3"/>
        <v>0.61199999999999999</v>
      </c>
      <c r="M33" s="29" t="s">
        <v>287</v>
      </c>
      <c r="N33" s="49" t="s">
        <v>124</v>
      </c>
    </row>
    <row r="34" spans="2:14" x14ac:dyDescent="0.25">
      <c r="B34" s="43" t="s">
        <v>276</v>
      </c>
      <c r="C34" s="44">
        <v>46173</v>
      </c>
      <c r="D34" s="29" t="s">
        <v>12</v>
      </c>
      <c r="E34" s="29" t="s">
        <v>13</v>
      </c>
      <c r="F34" s="45">
        <v>35000</v>
      </c>
      <c r="G34" s="28" t="s">
        <v>110</v>
      </c>
      <c r="H34" s="28" t="s">
        <v>123</v>
      </c>
      <c r="I34" s="46">
        <f>_xlfn.XLOOKUP(tblScope2[[#This Row],[EF ID]],tblEF[EF ID],tblEF[Aggregated EF],"To check",0)</f>
        <v>1.7999999999999999E-2</v>
      </c>
      <c r="J34" s="28" t="str">
        <f>_xlfn.XLOOKUP(tblScope2[[#This Row],[EF ID]],tblEF[EF ID],tblEF[Aggregated EF Unit],"To check",0)</f>
        <v>kg CO₂e/kWh</v>
      </c>
      <c r="K34" s="47">
        <f t="shared" si="2"/>
        <v>630</v>
      </c>
      <c r="L34" s="48">
        <f t="shared" si="3"/>
        <v>0.63</v>
      </c>
      <c r="M34" s="29" t="s">
        <v>288</v>
      </c>
      <c r="N34" s="49" t="s">
        <v>124</v>
      </c>
    </row>
    <row r="35" spans="2:14" x14ac:dyDescent="0.25">
      <c r="B35" s="43" t="s">
        <v>277</v>
      </c>
      <c r="C35" s="44">
        <v>46203</v>
      </c>
      <c r="D35" s="29" t="s">
        <v>12</v>
      </c>
      <c r="E35" s="29" t="s">
        <v>13</v>
      </c>
      <c r="F35" s="45">
        <v>35000</v>
      </c>
      <c r="G35" s="28" t="s">
        <v>110</v>
      </c>
      <c r="H35" s="28" t="s">
        <v>123</v>
      </c>
      <c r="I35" s="46">
        <f>_xlfn.XLOOKUP(tblScope2[[#This Row],[EF ID]],tblEF[EF ID],tblEF[Aggregated EF],"To check",0)</f>
        <v>1.7999999999999999E-2</v>
      </c>
      <c r="J35" s="28" t="str">
        <f>_xlfn.XLOOKUP(tblScope2[[#This Row],[EF ID]],tblEF[EF ID],tblEF[Aggregated EF Unit],"To check",0)</f>
        <v>kg CO₂e/kWh</v>
      </c>
      <c r="K35" s="47">
        <f t="shared" si="2"/>
        <v>630</v>
      </c>
      <c r="L35" s="48">
        <f t="shared" si="3"/>
        <v>0.63</v>
      </c>
      <c r="M35" s="29" t="s">
        <v>289</v>
      </c>
      <c r="N35" s="49" t="s">
        <v>124</v>
      </c>
    </row>
    <row r="36" spans="2:14" x14ac:dyDescent="0.25">
      <c r="B36" s="43" t="s">
        <v>278</v>
      </c>
      <c r="C36" s="44">
        <v>46234</v>
      </c>
      <c r="D36" s="29" t="s">
        <v>12</v>
      </c>
      <c r="E36" s="29" t="s">
        <v>13</v>
      </c>
      <c r="F36" s="45">
        <v>39000</v>
      </c>
      <c r="G36" s="28" t="s">
        <v>110</v>
      </c>
      <c r="H36" s="28" t="s">
        <v>123</v>
      </c>
      <c r="I36" s="46">
        <f>_xlfn.XLOOKUP(tblScope2[[#This Row],[EF ID]],tblEF[EF ID],tblEF[Aggregated EF],"To check",0)</f>
        <v>1.7999999999999999E-2</v>
      </c>
      <c r="J36" s="28" t="str">
        <f>_xlfn.XLOOKUP(tblScope2[[#This Row],[EF ID]],tblEF[EF ID],tblEF[Aggregated EF Unit],"To check",0)</f>
        <v>kg CO₂e/kWh</v>
      </c>
      <c r="K36" s="47">
        <f t="shared" si="2"/>
        <v>702</v>
      </c>
      <c r="L36" s="48">
        <f t="shared" si="3"/>
        <v>0.70199999999999996</v>
      </c>
      <c r="M36" s="29" t="s">
        <v>290</v>
      </c>
      <c r="N36" s="49" t="s">
        <v>124</v>
      </c>
    </row>
    <row r="37" spans="2:14" x14ac:dyDescent="0.25">
      <c r="B37" s="43" t="s">
        <v>279</v>
      </c>
      <c r="C37" s="44">
        <v>46265</v>
      </c>
      <c r="D37" s="29" t="s">
        <v>12</v>
      </c>
      <c r="E37" s="29" t="s">
        <v>13</v>
      </c>
      <c r="F37" s="45">
        <v>40000</v>
      </c>
      <c r="G37" s="28" t="s">
        <v>110</v>
      </c>
      <c r="H37" s="28" t="s">
        <v>123</v>
      </c>
      <c r="I37" s="46">
        <f>_xlfn.XLOOKUP(tblScope2[[#This Row],[EF ID]],tblEF[EF ID],tblEF[Aggregated EF],"To check",0)</f>
        <v>1.7999999999999999E-2</v>
      </c>
      <c r="J37" s="28" t="str">
        <f>_xlfn.XLOOKUP(tblScope2[[#This Row],[EF ID]],tblEF[EF ID],tblEF[Aggregated EF Unit],"To check",0)</f>
        <v>kg CO₂e/kWh</v>
      </c>
      <c r="K37" s="47">
        <f t="shared" si="2"/>
        <v>720</v>
      </c>
      <c r="L37" s="48">
        <f t="shared" si="3"/>
        <v>0.72</v>
      </c>
      <c r="M37" s="29" t="s">
        <v>291</v>
      </c>
      <c r="N37" s="49" t="s">
        <v>124</v>
      </c>
    </row>
    <row r="38" spans="2:14" x14ac:dyDescent="0.25">
      <c r="B38" s="43" t="s">
        <v>280</v>
      </c>
      <c r="C38" s="44">
        <v>46295</v>
      </c>
      <c r="D38" s="29" t="s">
        <v>12</v>
      </c>
      <c r="E38" s="29" t="s">
        <v>13</v>
      </c>
      <c r="F38" s="45">
        <v>42000</v>
      </c>
      <c r="G38" s="28" t="s">
        <v>110</v>
      </c>
      <c r="H38" s="28" t="s">
        <v>123</v>
      </c>
      <c r="I38" s="46">
        <f>_xlfn.XLOOKUP(tblScope2[[#This Row],[EF ID]],tblEF[EF ID],tblEF[Aggregated EF],"To check",0)</f>
        <v>1.7999999999999999E-2</v>
      </c>
      <c r="J38" s="28" t="str">
        <f>_xlfn.XLOOKUP(tblScope2[[#This Row],[EF ID]],tblEF[EF ID],tblEF[Aggregated EF Unit],"To check",0)</f>
        <v>kg CO₂e/kWh</v>
      </c>
      <c r="K38" s="47">
        <f t="shared" si="2"/>
        <v>755.99999999999989</v>
      </c>
      <c r="L38" s="48">
        <f t="shared" si="3"/>
        <v>0.75599999999999989</v>
      </c>
      <c r="M38" s="29" t="s">
        <v>292</v>
      </c>
      <c r="N38" s="49" t="s">
        <v>124</v>
      </c>
    </row>
    <row r="39" spans="2:14" x14ac:dyDescent="0.25">
      <c r="B39" s="43" t="s">
        <v>281</v>
      </c>
      <c r="C39" s="44">
        <v>46326</v>
      </c>
      <c r="D39" s="29" t="s">
        <v>12</v>
      </c>
      <c r="E39" s="29" t="s">
        <v>13</v>
      </c>
      <c r="F39" s="45">
        <v>35000</v>
      </c>
      <c r="G39" s="28" t="s">
        <v>110</v>
      </c>
      <c r="H39" s="28" t="s">
        <v>123</v>
      </c>
      <c r="I39" s="46">
        <f>_xlfn.XLOOKUP(tblScope2[[#This Row],[EF ID]],tblEF[EF ID],tblEF[Aggregated EF],"To check",0)</f>
        <v>1.7999999999999999E-2</v>
      </c>
      <c r="J39" s="28" t="str">
        <f>_xlfn.XLOOKUP(tblScope2[[#This Row],[EF ID]],tblEF[EF ID],tblEF[Aggregated EF Unit],"To check",0)</f>
        <v>kg CO₂e/kWh</v>
      </c>
      <c r="K39" s="47">
        <f t="shared" si="2"/>
        <v>630</v>
      </c>
      <c r="L39" s="48">
        <f t="shared" si="3"/>
        <v>0.63</v>
      </c>
      <c r="M39" s="29" t="s">
        <v>293</v>
      </c>
      <c r="N39" s="49" t="s">
        <v>124</v>
      </c>
    </row>
    <row r="40" spans="2:14" x14ac:dyDescent="0.25">
      <c r="B40" s="43" t="s">
        <v>282</v>
      </c>
      <c r="C40" s="44">
        <v>46356</v>
      </c>
      <c r="D40" s="29" t="s">
        <v>12</v>
      </c>
      <c r="E40" s="29" t="s">
        <v>13</v>
      </c>
      <c r="F40" s="45">
        <v>34000</v>
      </c>
      <c r="G40" s="28" t="s">
        <v>110</v>
      </c>
      <c r="H40" s="28" t="s">
        <v>123</v>
      </c>
      <c r="I40" s="46">
        <f>_xlfn.XLOOKUP(tblScope2[[#This Row],[EF ID]],tblEF[EF ID],tblEF[Aggregated EF],"To check",0)</f>
        <v>1.7999999999999999E-2</v>
      </c>
      <c r="J40" s="28" t="str">
        <f>_xlfn.XLOOKUP(tblScope2[[#This Row],[EF ID]],tblEF[EF ID],tblEF[Aggregated EF Unit],"To check",0)</f>
        <v>kg CO₂e/kWh</v>
      </c>
      <c r="K40" s="47">
        <f t="shared" si="2"/>
        <v>612</v>
      </c>
      <c r="L40" s="48">
        <f t="shared" si="3"/>
        <v>0.61199999999999999</v>
      </c>
      <c r="M40" s="29" t="s">
        <v>294</v>
      </c>
      <c r="N40" s="49" t="s">
        <v>124</v>
      </c>
    </row>
    <row r="41" spans="2:14" x14ac:dyDescent="0.25">
      <c r="B41" s="43" t="s">
        <v>283</v>
      </c>
      <c r="C41" s="44">
        <v>46387</v>
      </c>
      <c r="D41" s="29" t="s">
        <v>12</v>
      </c>
      <c r="E41" s="29" t="s">
        <v>13</v>
      </c>
      <c r="F41" s="45">
        <v>32000</v>
      </c>
      <c r="G41" s="28" t="s">
        <v>110</v>
      </c>
      <c r="H41" s="28" t="s">
        <v>123</v>
      </c>
      <c r="I41" s="46">
        <f>_xlfn.XLOOKUP(tblScope2[[#This Row],[EF ID]],tblEF[EF ID],tblEF[Aggregated EF],"To check",0)</f>
        <v>1.7999999999999999E-2</v>
      </c>
      <c r="J41" s="28" t="str">
        <f>_xlfn.XLOOKUP(tblScope2[[#This Row],[EF ID]],tblEF[EF ID],tblEF[Aggregated EF Unit],"To check",0)</f>
        <v>kg CO₂e/kWh</v>
      </c>
      <c r="K41" s="47">
        <f t="shared" si="2"/>
        <v>576</v>
      </c>
      <c r="L41" s="48">
        <f t="shared" si="3"/>
        <v>0.57599999999999996</v>
      </c>
      <c r="M41" s="29" t="s">
        <v>295</v>
      </c>
      <c r="N41" s="49" t="s">
        <v>124</v>
      </c>
    </row>
    <row r="42" spans="2:14" x14ac:dyDescent="0.25">
      <c r="B42" s="8" t="s">
        <v>128</v>
      </c>
      <c r="C42" s="9"/>
      <c r="D42" s="9"/>
      <c r="E42" s="9"/>
      <c r="F42" s="9"/>
      <c r="G42" s="9"/>
      <c r="H42" s="9"/>
      <c r="I42" s="9"/>
      <c r="J42" s="9"/>
      <c r="K42" s="55">
        <f>SUM(K6:K41)</f>
        <v>326957</v>
      </c>
      <c r="L42" s="56">
        <f>SUM(L6:L41)</f>
        <v>326.95700000000011</v>
      </c>
      <c r="M42" s="72" t="s">
        <v>95</v>
      </c>
      <c r="N42" s="9"/>
    </row>
    <row r="44" spans="2:14" x14ac:dyDescent="0.25">
      <c r="B44" s="2" t="s">
        <v>96</v>
      </c>
    </row>
    <row r="45" spans="2:14" x14ac:dyDescent="0.25">
      <c r="B45" s="10" t="s">
        <v>97</v>
      </c>
      <c r="C45" s="3" t="s">
        <v>129</v>
      </c>
    </row>
    <row r="46" spans="2:14" x14ac:dyDescent="0.25">
      <c r="B46" s="11" t="s">
        <v>99</v>
      </c>
      <c r="C46" s="3" t="s">
        <v>130</v>
      </c>
    </row>
    <row r="47" spans="2:14" x14ac:dyDescent="0.25">
      <c r="B47" s="11" t="s">
        <v>101</v>
      </c>
      <c r="C47" s="3" t="s">
        <v>131</v>
      </c>
    </row>
    <row r="48" spans="2:14" x14ac:dyDescent="0.25">
      <c r="B48" s="11" t="s">
        <v>103</v>
      </c>
      <c r="C48" s="3" t="s">
        <v>132</v>
      </c>
    </row>
    <row r="51" spans="2:6" x14ac:dyDescent="0.25">
      <c r="B51" s="51" t="s">
        <v>258</v>
      </c>
      <c r="C51" s="51" t="s">
        <v>252</v>
      </c>
    </row>
    <row r="52" spans="2:6" x14ac:dyDescent="0.25">
      <c r="B52" s="51" t="s">
        <v>259</v>
      </c>
      <c r="C52" t="s">
        <v>10</v>
      </c>
      <c r="D52" t="s">
        <v>8</v>
      </c>
      <c r="E52" t="s">
        <v>12</v>
      </c>
      <c r="F52" t="s">
        <v>253</v>
      </c>
    </row>
    <row r="53" spans="2:6" x14ac:dyDescent="0.25">
      <c r="B53" s="53" t="s">
        <v>296</v>
      </c>
      <c r="C53" s="52">
        <v>19.71</v>
      </c>
      <c r="D53" s="52">
        <v>3.54</v>
      </c>
      <c r="E53" s="52">
        <v>0.57599999999999996</v>
      </c>
      <c r="F53" s="52">
        <v>23.826000000000001</v>
      </c>
    </row>
    <row r="54" spans="2:6" x14ac:dyDescent="0.25">
      <c r="B54" s="53" t="s">
        <v>297</v>
      </c>
      <c r="C54" s="52">
        <v>20.585999999999999</v>
      </c>
      <c r="D54" s="52">
        <v>3.5990000000000002</v>
      </c>
      <c r="E54" s="52">
        <v>0.57599999999999996</v>
      </c>
      <c r="F54" s="52">
        <v>24.760999999999999</v>
      </c>
    </row>
    <row r="55" spans="2:6" x14ac:dyDescent="0.25">
      <c r="B55" s="53" t="s">
        <v>254</v>
      </c>
      <c r="C55" s="52">
        <v>21.9</v>
      </c>
      <c r="D55" s="52">
        <v>3.835</v>
      </c>
      <c r="E55" s="52">
        <v>0.61199999999999999</v>
      </c>
      <c r="F55" s="52">
        <v>26.346999999999998</v>
      </c>
    </row>
    <row r="56" spans="2:6" x14ac:dyDescent="0.25">
      <c r="B56" s="53" t="s">
        <v>298</v>
      </c>
      <c r="C56" s="52">
        <v>21.462</v>
      </c>
      <c r="D56" s="52">
        <v>3.8940000000000001</v>
      </c>
      <c r="E56" s="52">
        <v>0.61199999999999999</v>
      </c>
      <c r="F56" s="52">
        <v>25.968</v>
      </c>
    </row>
    <row r="57" spans="2:6" x14ac:dyDescent="0.25">
      <c r="B57" s="53" t="s">
        <v>299</v>
      </c>
      <c r="C57" s="52">
        <v>21.9</v>
      </c>
      <c r="D57" s="52">
        <v>3.9529999999999998</v>
      </c>
      <c r="E57" s="52">
        <v>0.63</v>
      </c>
      <c r="F57" s="52">
        <v>26.482999999999997</v>
      </c>
    </row>
    <row r="58" spans="2:6" x14ac:dyDescent="0.25">
      <c r="B58" s="53" t="s">
        <v>255</v>
      </c>
      <c r="C58" s="52">
        <v>22.776</v>
      </c>
      <c r="D58" s="52">
        <v>4.0119999999999996</v>
      </c>
      <c r="E58" s="52">
        <v>0.63</v>
      </c>
      <c r="F58" s="52">
        <v>27.417999999999999</v>
      </c>
    </row>
    <row r="59" spans="2:6" x14ac:dyDescent="0.25">
      <c r="B59" s="53" t="s">
        <v>300</v>
      </c>
      <c r="C59" s="52">
        <v>24.527999999999999</v>
      </c>
      <c r="D59" s="52">
        <v>4.484</v>
      </c>
      <c r="E59" s="52">
        <v>0.70199999999999996</v>
      </c>
      <c r="F59" s="52">
        <v>29.713999999999999</v>
      </c>
    </row>
    <row r="60" spans="2:6" x14ac:dyDescent="0.25">
      <c r="B60" s="53" t="s">
        <v>301</v>
      </c>
      <c r="C60" s="52">
        <v>25.841999999999999</v>
      </c>
      <c r="D60" s="52">
        <v>4.72</v>
      </c>
      <c r="E60" s="52">
        <v>0.72</v>
      </c>
      <c r="F60" s="52">
        <v>31.281999999999996</v>
      </c>
    </row>
    <row r="61" spans="2:6" x14ac:dyDescent="0.25">
      <c r="B61" s="53" t="s">
        <v>256</v>
      </c>
      <c r="C61" s="52">
        <v>27.594000000000001</v>
      </c>
      <c r="D61" s="52">
        <v>4.8380000000000001</v>
      </c>
      <c r="E61" s="52">
        <v>0.75599999999999989</v>
      </c>
      <c r="F61" s="52">
        <v>33.188000000000002</v>
      </c>
    </row>
    <row r="62" spans="2:6" x14ac:dyDescent="0.25">
      <c r="B62" s="53" t="s">
        <v>302</v>
      </c>
      <c r="C62" s="52">
        <v>22.776</v>
      </c>
      <c r="D62" s="52">
        <v>3.9529999999999998</v>
      </c>
      <c r="E62" s="52">
        <v>0.63</v>
      </c>
      <c r="F62" s="52">
        <v>27.358999999999998</v>
      </c>
    </row>
    <row r="63" spans="2:6" x14ac:dyDescent="0.25">
      <c r="B63" s="53" t="s">
        <v>303</v>
      </c>
      <c r="C63" s="52">
        <v>21.462</v>
      </c>
      <c r="D63" s="52">
        <v>3.7759999999999998</v>
      </c>
      <c r="E63" s="52">
        <v>0.61199999999999999</v>
      </c>
      <c r="F63" s="52">
        <v>25.849999999999998</v>
      </c>
    </row>
    <row r="64" spans="2:6" x14ac:dyDescent="0.25">
      <c r="B64" s="53" t="s">
        <v>257</v>
      </c>
      <c r="C64" s="52">
        <v>20.585999999999999</v>
      </c>
      <c r="D64" s="52">
        <v>3.5990000000000002</v>
      </c>
      <c r="E64" s="52">
        <v>0.57599999999999996</v>
      </c>
      <c r="F64" s="52">
        <v>24.760999999999999</v>
      </c>
    </row>
    <row r="65" spans="2:6" x14ac:dyDescent="0.25">
      <c r="B65" s="53" t="s">
        <v>253</v>
      </c>
      <c r="C65" s="52">
        <v>271.12200000000001</v>
      </c>
      <c r="D65" s="52">
        <v>48.203000000000003</v>
      </c>
      <c r="E65" s="52">
        <v>7.6319999999999988</v>
      </c>
      <c r="F65" s="52">
        <v>326.95699999999999</v>
      </c>
    </row>
  </sheetData>
  <sheetProtection algorithmName="SHA-512" hashValue="6k0109gxPRvM/7CoKqgNXvpp2bH3vo4Tje7Lqew1mR4U7zQCJ/d2ZAiMlMvKwVDhgnvFwcwvfWmRQC0kZ9/gOw==" saltValue="aVu2w8mLzX4auukt0JJTwQ==" spinCount="100000" sheet="1" objects="1" scenarios="1"/>
  <dataValidations count="2">
    <dataValidation type="list" allowBlank="1" sqref="D6:D41" xr:uid="{00000000-0002-0000-0200-000000000000}">
      <formula1>"Toronto Office,Calgary Office,Vancouver Office"</formula1>
      <formula2>0</formula2>
    </dataValidation>
    <dataValidation type="list" allowBlank="1" sqref="E6:E41" xr:uid="{00000000-0002-0000-0200-000001000000}">
      <formula1>"Ontario,Alberta,British Columbia"</formula1>
      <formula2>0</formula2>
    </dataValidation>
  </dataValidations>
  <pageMargins left="0.75" right="0.75" top="1" bottom="1" header="0.511811023622047" footer="0.511811023622047"/>
  <pageSetup paperSize="9" orientation="portrait" horizontalDpi="300" verticalDpi="300"/>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xr:uid="{00000000-0002-0000-0200-000002000000}">
          <x14:formula1>
            <xm:f>'Emission Factors DB'!$B$11:$B$13</xm:f>
          </x14:formula1>
          <x14:formula2>
            <xm:f>0</xm:f>
          </x14:formula2>
          <xm:sqref>H6:H41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W21"/>
  <sheetViews>
    <sheetView showGridLines="0" zoomScaleNormal="100" workbookViewId="0">
      <pane xSplit="2" ySplit="5" topLeftCell="C6" activePane="bottomRight" state="frozen"/>
      <selection pane="topRight" activeCell="C1" sqref="C1"/>
      <selection pane="bottomLeft" activeCell="A6" sqref="A6"/>
      <selection pane="bottomRight" activeCell="B5" sqref="B5"/>
    </sheetView>
  </sheetViews>
  <sheetFormatPr defaultColWidth="8.7109375" defaultRowHeight="15" x14ac:dyDescent="0.25"/>
  <cols>
    <col min="1" max="1" width="2" customWidth="1"/>
    <col min="2" max="2" width="14.42578125" customWidth="1"/>
    <col min="3" max="3" width="9" customWidth="1"/>
    <col min="4" max="4" width="22" customWidth="1"/>
    <col min="5" max="5" width="26" customWidth="1"/>
    <col min="6" max="6" width="22" customWidth="1"/>
    <col min="7" max="7" width="16" customWidth="1"/>
    <col min="8" max="8" width="11" customWidth="1"/>
    <col min="9" max="10" width="10" customWidth="1"/>
    <col min="11" max="11" width="14" customWidth="1"/>
    <col min="12" max="14" width="8" customWidth="1"/>
    <col min="15" max="15" width="14" customWidth="1"/>
    <col min="16" max="16" width="17" customWidth="1"/>
    <col min="17" max="17" width="30" customWidth="1"/>
    <col min="18" max="18" width="12" customWidth="1"/>
    <col min="19" max="19" width="34" customWidth="1"/>
    <col min="20" max="20" width="42" customWidth="1"/>
    <col min="21" max="21" width="17.5703125" customWidth="1"/>
    <col min="22" max="22" width="62" customWidth="1"/>
    <col min="23" max="23" width="54" customWidth="1"/>
  </cols>
  <sheetData>
    <row r="2" spans="2:23" ht="18" x14ac:dyDescent="0.25">
      <c r="B2" s="4" t="s">
        <v>133</v>
      </c>
    </row>
    <row r="3" spans="2:23" x14ac:dyDescent="0.25">
      <c r="B3" s="3" t="s">
        <v>134</v>
      </c>
    </row>
    <row r="5" spans="2:23" ht="42" customHeight="1" x14ac:dyDescent="0.25">
      <c r="B5" s="17" t="s">
        <v>39</v>
      </c>
      <c r="C5" s="17" t="s">
        <v>135</v>
      </c>
      <c r="D5" s="17" t="s">
        <v>35</v>
      </c>
      <c r="E5" s="17" t="s">
        <v>36</v>
      </c>
      <c r="F5" s="17" t="s">
        <v>136</v>
      </c>
      <c r="G5" s="17" t="s">
        <v>137</v>
      </c>
      <c r="H5" s="17" t="s">
        <v>138</v>
      </c>
      <c r="I5" s="17" t="s">
        <v>139</v>
      </c>
      <c r="J5" s="17" t="s">
        <v>140</v>
      </c>
      <c r="K5" s="17" t="s">
        <v>141</v>
      </c>
      <c r="L5" s="17" t="s">
        <v>142</v>
      </c>
      <c r="M5" s="17" t="s">
        <v>143</v>
      </c>
      <c r="N5" s="17" t="s">
        <v>144</v>
      </c>
      <c r="O5" s="17" t="s">
        <v>145</v>
      </c>
      <c r="P5" s="17" t="s">
        <v>146</v>
      </c>
      <c r="Q5" s="17" t="s">
        <v>147</v>
      </c>
      <c r="R5" s="17" t="s">
        <v>148</v>
      </c>
      <c r="S5" s="17" t="s">
        <v>149</v>
      </c>
      <c r="T5" s="17" t="s">
        <v>150</v>
      </c>
      <c r="U5" s="17" t="s">
        <v>151</v>
      </c>
      <c r="V5" s="17" t="s">
        <v>152</v>
      </c>
      <c r="W5" s="17" t="s">
        <v>44</v>
      </c>
    </row>
    <row r="6" spans="2:23" ht="45.75" customHeight="1" x14ac:dyDescent="0.25">
      <c r="B6" s="27" t="s">
        <v>49</v>
      </c>
      <c r="C6" s="28" t="s">
        <v>14</v>
      </c>
      <c r="D6" s="29" t="s">
        <v>46</v>
      </c>
      <c r="E6" s="29" t="s">
        <v>153</v>
      </c>
      <c r="F6" s="29" t="s">
        <v>9</v>
      </c>
      <c r="G6" s="28" t="s">
        <v>154</v>
      </c>
      <c r="H6" s="30">
        <v>1921</v>
      </c>
      <c r="I6" s="31">
        <v>3.6999999999999998E-2</v>
      </c>
      <c r="J6" s="31">
        <v>3.5000000000000003E-2</v>
      </c>
      <c r="K6" s="32" t="s">
        <v>155</v>
      </c>
      <c r="L6" s="33">
        <f>'GWP Reference'!$D$6</f>
        <v>1</v>
      </c>
      <c r="M6" s="33">
        <f>'GWP Reference'!$D$7</f>
        <v>28</v>
      </c>
      <c r="N6" s="33">
        <f>'GWP Reference'!$D$8</f>
        <v>265</v>
      </c>
      <c r="O6" s="34">
        <f>IF(ISNUMBER($K6),$K6/1000,($H6*$L6+$I6*$M6+$J6*$N6)/1000)</f>
        <v>1.9313110000000002</v>
      </c>
      <c r="P6" s="28" t="s">
        <v>156</v>
      </c>
      <c r="Q6" s="35" t="s">
        <v>157</v>
      </c>
      <c r="R6" s="36">
        <v>2026</v>
      </c>
      <c r="S6" s="35" t="s">
        <v>158</v>
      </c>
      <c r="T6" s="35" t="s">
        <v>159</v>
      </c>
      <c r="U6" s="28" t="s">
        <v>160</v>
      </c>
      <c r="V6" s="50" t="s">
        <v>161</v>
      </c>
      <c r="W6" s="57" t="s">
        <v>162</v>
      </c>
    </row>
    <row r="7" spans="2:23" ht="45.75" customHeight="1" x14ac:dyDescent="0.25">
      <c r="B7" s="27" t="s">
        <v>71</v>
      </c>
      <c r="C7" s="28" t="s">
        <v>14</v>
      </c>
      <c r="D7" s="29" t="s">
        <v>46</v>
      </c>
      <c r="E7" s="29" t="s">
        <v>153</v>
      </c>
      <c r="F7" s="29" t="s">
        <v>11</v>
      </c>
      <c r="G7" s="28" t="s">
        <v>154</v>
      </c>
      <c r="H7" s="30">
        <v>1962</v>
      </c>
      <c r="I7" s="31">
        <v>3.6999999999999998E-2</v>
      </c>
      <c r="J7" s="31">
        <v>3.5000000000000003E-2</v>
      </c>
      <c r="K7" s="32" t="s">
        <v>155</v>
      </c>
      <c r="L7" s="33">
        <f>'GWP Reference'!$D$6</f>
        <v>1</v>
      </c>
      <c r="M7" s="33">
        <f>'GWP Reference'!$D$7</f>
        <v>28</v>
      </c>
      <c r="N7" s="33">
        <f>'GWP Reference'!$D$8</f>
        <v>265</v>
      </c>
      <c r="O7" s="34">
        <f>IF(ISNUMBER($K7),$K7/1000,($H7*$L7+$I7*$M7+$J7*$N7)/1000)</f>
        <v>1.9723110000000001</v>
      </c>
      <c r="P7" s="28" t="s">
        <v>156</v>
      </c>
      <c r="Q7" s="35" t="s">
        <v>157</v>
      </c>
      <c r="R7" s="36">
        <v>2026</v>
      </c>
      <c r="S7" s="35" t="s">
        <v>158</v>
      </c>
      <c r="T7" s="35" t="s">
        <v>159</v>
      </c>
      <c r="U7" s="28" t="s">
        <v>160</v>
      </c>
      <c r="V7" s="37" t="s">
        <v>161</v>
      </c>
      <c r="W7" s="38" t="s">
        <v>163</v>
      </c>
    </row>
    <row r="8" spans="2:23" ht="45.75" customHeight="1" x14ac:dyDescent="0.25">
      <c r="B8" s="27" t="s">
        <v>85</v>
      </c>
      <c r="C8" s="28" t="s">
        <v>14</v>
      </c>
      <c r="D8" s="29" t="s">
        <v>46</v>
      </c>
      <c r="E8" s="29" t="s">
        <v>153</v>
      </c>
      <c r="F8" s="29" t="s">
        <v>13</v>
      </c>
      <c r="G8" s="28" t="s">
        <v>154</v>
      </c>
      <c r="H8" s="30">
        <v>1966</v>
      </c>
      <c r="I8" s="31">
        <v>3.6999999999999998E-2</v>
      </c>
      <c r="J8" s="31">
        <v>3.5000000000000003E-2</v>
      </c>
      <c r="K8" s="32" t="s">
        <v>155</v>
      </c>
      <c r="L8" s="33">
        <f>'GWP Reference'!$D$6</f>
        <v>1</v>
      </c>
      <c r="M8" s="33">
        <f>'GWP Reference'!$D$7</f>
        <v>28</v>
      </c>
      <c r="N8" s="33">
        <f>'GWP Reference'!$D$8</f>
        <v>265</v>
      </c>
      <c r="O8" s="34">
        <f>IF(ISNUMBER($K8),$K8/1000,($H8*$L8+$I8*$M8+$J8*$N8)/1000)</f>
        <v>1.9763110000000002</v>
      </c>
      <c r="P8" s="28" t="s">
        <v>156</v>
      </c>
      <c r="Q8" s="35" t="s">
        <v>157</v>
      </c>
      <c r="R8" s="36">
        <v>2026</v>
      </c>
      <c r="S8" s="35" t="s">
        <v>158</v>
      </c>
      <c r="T8" s="35" t="s">
        <v>159</v>
      </c>
      <c r="U8" s="28" t="s">
        <v>160</v>
      </c>
      <c r="V8" s="37" t="s">
        <v>161</v>
      </c>
      <c r="W8" s="57" t="s">
        <v>163</v>
      </c>
    </row>
    <row r="9" spans="2:23" ht="45.75" customHeight="1" x14ac:dyDescent="0.25">
      <c r="B9" s="75" t="s">
        <v>58</v>
      </c>
      <c r="C9" s="40" t="s">
        <v>14</v>
      </c>
      <c r="D9" s="39" t="s">
        <v>55</v>
      </c>
      <c r="E9" s="39" t="s">
        <v>56</v>
      </c>
      <c r="F9" s="39" t="s">
        <v>164</v>
      </c>
      <c r="G9" s="40" t="s">
        <v>165</v>
      </c>
      <c r="H9" s="76">
        <v>2307</v>
      </c>
      <c r="I9" s="77">
        <v>0.1</v>
      </c>
      <c r="J9" s="77">
        <v>0.02</v>
      </c>
      <c r="K9" s="78" t="s">
        <v>155</v>
      </c>
      <c r="L9" s="79">
        <f>'GWP Reference'!$D$6</f>
        <v>1</v>
      </c>
      <c r="M9" s="79">
        <f>'GWP Reference'!$D$7</f>
        <v>28</v>
      </c>
      <c r="N9" s="79">
        <f>'GWP Reference'!$D$8</f>
        <v>265</v>
      </c>
      <c r="O9" s="80">
        <f>IF(ISNUMBER($K9),$K9/1000,($H9*$L9+$I9*$M9+$J9*$N9)/1000)</f>
        <v>2.3151000000000002</v>
      </c>
      <c r="P9" s="40" t="s">
        <v>166</v>
      </c>
      <c r="Q9" s="81" t="s">
        <v>157</v>
      </c>
      <c r="R9" s="82">
        <v>2026</v>
      </c>
      <c r="S9" s="81" t="s">
        <v>158</v>
      </c>
      <c r="T9" s="81" t="s">
        <v>159</v>
      </c>
      <c r="U9" s="40" t="s">
        <v>167</v>
      </c>
      <c r="V9" s="83" t="s">
        <v>161</v>
      </c>
      <c r="W9" s="84" t="s">
        <v>168</v>
      </c>
    </row>
    <row r="10" spans="2:23" ht="86.25" customHeight="1" x14ac:dyDescent="0.25">
      <c r="B10" s="27" t="s">
        <v>65</v>
      </c>
      <c r="C10" s="28" t="s">
        <v>14</v>
      </c>
      <c r="D10" s="29" t="s">
        <v>55</v>
      </c>
      <c r="E10" s="29" t="s">
        <v>64</v>
      </c>
      <c r="F10" s="29" t="s">
        <v>164</v>
      </c>
      <c r="G10" s="28" t="s">
        <v>165</v>
      </c>
      <c r="H10" s="30">
        <v>2681</v>
      </c>
      <c r="I10" s="31">
        <v>7.8E-2</v>
      </c>
      <c r="J10" s="31">
        <v>2.1999999999999999E-2</v>
      </c>
      <c r="K10" s="32" t="s">
        <v>155</v>
      </c>
      <c r="L10" s="33">
        <f>'GWP Reference'!$D$6</f>
        <v>1</v>
      </c>
      <c r="M10" s="33">
        <f>'GWP Reference'!$D$7</f>
        <v>28</v>
      </c>
      <c r="N10" s="33">
        <f>'GWP Reference'!$D$8</f>
        <v>265</v>
      </c>
      <c r="O10" s="34">
        <f t="shared" ref="O10:O12" si="0">IF(ISNUMBER($K10),$K10/1000,($H10*$L10+$I10*$M10+$J10*$N10)/1000)</f>
        <v>2.6890140000000002</v>
      </c>
      <c r="P10" s="28" t="s">
        <v>166</v>
      </c>
      <c r="Q10" s="35" t="s">
        <v>400</v>
      </c>
      <c r="R10" s="36">
        <v>2026</v>
      </c>
      <c r="S10" s="35" t="s">
        <v>158</v>
      </c>
      <c r="T10" s="35" t="s">
        <v>159</v>
      </c>
      <c r="U10" s="28" t="s">
        <v>167</v>
      </c>
      <c r="V10" s="37" t="s">
        <v>161</v>
      </c>
      <c r="W10" s="95" t="s">
        <v>401</v>
      </c>
    </row>
    <row r="11" spans="2:23" ht="45.75" customHeight="1" x14ac:dyDescent="0.25">
      <c r="B11" s="85" t="s">
        <v>111</v>
      </c>
      <c r="C11" s="42" t="s">
        <v>15</v>
      </c>
      <c r="D11" s="41" t="s">
        <v>169</v>
      </c>
      <c r="E11" s="41" t="s">
        <v>170</v>
      </c>
      <c r="F11" s="41" t="s">
        <v>9</v>
      </c>
      <c r="G11" s="42" t="s">
        <v>171</v>
      </c>
      <c r="H11" s="86" t="s">
        <v>155</v>
      </c>
      <c r="I11" s="87" t="s">
        <v>155</v>
      </c>
      <c r="J11" s="87" t="s">
        <v>155</v>
      </c>
      <c r="K11" s="88">
        <v>59</v>
      </c>
      <c r="L11" s="89">
        <f>'GWP Reference'!$D$6</f>
        <v>1</v>
      </c>
      <c r="M11" s="89">
        <f>'GWP Reference'!$D$7</f>
        <v>28</v>
      </c>
      <c r="N11" s="89">
        <f>'GWP Reference'!$D$8</f>
        <v>265</v>
      </c>
      <c r="O11" s="90">
        <f t="shared" si="0"/>
        <v>5.8999999999999997E-2</v>
      </c>
      <c r="P11" s="42" t="s">
        <v>172</v>
      </c>
      <c r="Q11" s="91" t="s">
        <v>173</v>
      </c>
      <c r="R11" s="92">
        <v>2026</v>
      </c>
      <c r="S11" s="91" t="s">
        <v>158</v>
      </c>
      <c r="T11" s="91" t="s">
        <v>159</v>
      </c>
      <c r="U11" s="42" t="s">
        <v>174</v>
      </c>
      <c r="V11" s="93" t="s">
        <v>161</v>
      </c>
      <c r="W11" s="94" t="s">
        <v>175</v>
      </c>
    </row>
    <row r="12" spans="2:23" ht="45.75" customHeight="1" x14ac:dyDescent="0.25">
      <c r="B12" s="27" t="s">
        <v>117</v>
      </c>
      <c r="C12" s="28" t="s">
        <v>15</v>
      </c>
      <c r="D12" s="29" t="s">
        <v>169</v>
      </c>
      <c r="E12" s="29" t="s">
        <v>170</v>
      </c>
      <c r="F12" s="29" t="s">
        <v>11</v>
      </c>
      <c r="G12" s="28" t="s">
        <v>171</v>
      </c>
      <c r="H12" s="30" t="s">
        <v>155</v>
      </c>
      <c r="I12" s="31" t="s">
        <v>155</v>
      </c>
      <c r="J12" s="31" t="s">
        <v>155</v>
      </c>
      <c r="K12" s="32">
        <v>438</v>
      </c>
      <c r="L12" s="33">
        <f>'GWP Reference'!$D$6</f>
        <v>1</v>
      </c>
      <c r="M12" s="33">
        <f>'GWP Reference'!$D$7</f>
        <v>28</v>
      </c>
      <c r="N12" s="33">
        <f>'GWP Reference'!$D$8</f>
        <v>265</v>
      </c>
      <c r="O12" s="34">
        <f t="shared" si="0"/>
        <v>0.438</v>
      </c>
      <c r="P12" s="28" t="s">
        <v>172</v>
      </c>
      <c r="Q12" s="35" t="s">
        <v>173</v>
      </c>
      <c r="R12" s="36">
        <v>2026</v>
      </c>
      <c r="S12" s="35" t="s">
        <v>158</v>
      </c>
      <c r="T12" s="35" t="s">
        <v>159</v>
      </c>
      <c r="U12" s="28" t="s">
        <v>174</v>
      </c>
      <c r="V12" s="37" t="s">
        <v>161</v>
      </c>
      <c r="W12" s="57" t="s">
        <v>175</v>
      </c>
    </row>
    <row r="13" spans="2:23" ht="45.75" customHeight="1" x14ac:dyDescent="0.25">
      <c r="B13" s="15" t="s">
        <v>123</v>
      </c>
      <c r="C13" s="18" t="s">
        <v>15</v>
      </c>
      <c r="D13" s="16" t="s">
        <v>169</v>
      </c>
      <c r="E13" s="16" t="s">
        <v>170</v>
      </c>
      <c r="F13" s="16" t="s">
        <v>13</v>
      </c>
      <c r="G13" s="18" t="s">
        <v>171</v>
      </c>
      <c r="H13" s="19" t="s">
        <v>155</v>
      </c>
      <c r="I13" s="20" t="s">
        <v>155</v>
      </c>
      <c r="J13" s="20" t="s">
        <v>155</v>
      </c>
      <c r="K13" s="21">
        <v>18</v>
      </c>
      <c r="L13" s="22">
        <f>'GWP Reference'!$D$6</f>
        <v>1</v>
      </c>
      <c r="M13" s="22">
        <f>'GWP Reference'!$D$7</f>
        <v>28</v>
      </c>
      <c r="N13" s="22">
        <f>'GWP Reference'!$D$8</f>
        <v>265</v>
      </c>
      <c r="O13" s="23">
        <f>IF(ISNUMBER($K13),$K13/1000,($H13*$L13+$I13*$M13+$J13*$N13)/1000)</f>
        <v>1.7999999999999999E-2</v>
      </c>
      <c r="P13" s="18" t="s">
        <v>172</v>
      </c>
      <c r="Q13" s="24" t="s">
        <v>173</v>
      </c>
      <c r="R13" s="25">
        <v>2026</v>
      </c>
      <c r="S13" s="24" t="s">
        <v>158</v>
      </c>
      <c r="T13" s="24" t="s">
        <v>159</v>
      </c>
      <c r="U13" s="18" t="s">
        <v>174</v>
      </c>
      <c r="V13" s="26" t="s">
        <v>161</v>
      </c>
      <c r="W13" s="58" t="s">
        <v>175</v>
      </c>
    </row>
    <row r="16" spans="2:23" x14ac:dyDescent="0.25">
      <c r="B16" s="2" t="s">
        <v>176</v>
      </c>
    </row>
    <row r="17" spans="2:19" ht="30" customHeight="1" x14ac:dyDescent="0.25">
      <c r="B17" s="114" t="s">
        <v>177</v>
      </c>
      <c r="C17" s="114"/>
      <c r="D17" s="114"/>
      <c r="E17" s="114"/>
      <c r="F17" s="114"/>
      <c r="G17" s="114"/>
      <c r="H17" s="114"/>
      <c r="I17" s="114"/>
      <c r="J17" s="114"/>
      <c r="K17" s="114"/>
    </row>
    <row r="18" spans="2:19" ht="30" customHeight="1" x14ac:dyDescent="0.25">
      <c r="B18" s="114" t="s">
        <v>178</v>
      </c>
      <c r="C18" s="114"/>
      <c r="D18" s="114"/>
      <c r="E18" s="114"/>
      <c r="F18" s="114"/>
      <c r="G18" s="114"/>
      <c r="H18" s="114"/>
      <c r="I18" s="114"/>
      <c r="J18" s="114"/>
      <c r="K18" s="114"/>
      <c r="L18" s="114"/>
      <c r="M18" s="114"/>
      <c r="N18" s="114"/>
      <c r="O18" s="114"/>
      <c r="P18" s="114"/>
      <c r="Q18" s="114"/>
      <c r="R18" s="114"/>
      <c r="S18" s="114"/>
    </row>
    <row r="19" spans="2:19" ht="30" customHeight="1" x14ac:dyDescent="0.25">
      <c r="B19" s="114" t="s">
        <v>179</v>
      </c>
      <c r="C19" s="114"/>
      <c r="D19" s="114"/>
      <c r="E19" s="114"/>
      <c r="F19" s="114"/>
      <c r="G19" s="114"/>
      <c r="H19" s="114"/>
      <c r="I19" s="114"/>
      <c r="J19" s="114"/>
      <c r="K19" s="114"/>
    </row>
    <row r="20" spans="2:19" ht="30" customHeight="1" x14ac:dyDescent="0.25">
      <c r="B20" s="114" t="s">
        <v>180</v>
      </c>
      <c r="C20" s="114"/>
      <c r="D20" s="114"/>
      <c r="E20" s="114"/>
      <c r="F20" s="114"/>
      <c r="G20" s="114"/>
      <c r="H20" s="114"/>
      <c r="I20" s="114"/>
      <c r="J20" s="114"/>
      <c r="K20" s="114"/>
    </row>
    <row r="21" spans="2:19" ht="30" customHeight="1" x14ac:dyDescent="0.25">
      <c r="B21" s="114" t="s">
        <v>181</v>
      </c>
      <c r="C21" s="114"/>
      <c r="D21" s="114"/>
      <c r="E21" s="114"/>
      <c r="F21" s="114"/>
      <c r="G21" s="114"/>
      <c r="H21" s="114"/>
      <c r="I21" s="114"/>
      <c r="J21" s="114"/>
      <c r="K21" s="114"/>
    </row>
  </sheetData>
  <sheetProtection algorithmName="SHA-512" hashValue="w0/jAEGbSENx8F/sy9DlX6wczxRrt8sT3yJS5Ocxnd0tXgrFzXMJIjF5M2FBiKsJXn2L0tcdsOjHT0WVfrlNvA==" saltValue="vzFP18CAN4MyB4leh3qMNg==" spinCount="100000" sheet="1" objects="1" scenarios="1"/>
  <mergeCells count="5">
    <mergeCell ref="B17:K17"/>
    <mergeCell ref="B19:K19"/>
    <mergeCell ref="B20:K20"/>
    <mergeCell ref="B21:K21"/>
    <mergeCell ref="B18:S18"/>
  </mergeCells>
  <hyperlinks>
    <hyperlink ref="V6" r:id="rId1" xr:uid="{1E25DA5B-909B-4343-8DF0-36C77A85970F}"/>
  </hyperlinks>
  <pageMargins left="0.75" right="0.75" top="1" bottom="1" header="0.511811023622047" footer="0.511811023622047"/>
  <pageSetup paperSize="9" orientation="portrait" horizontalDpi="300" verticalDpi="300"/>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G14"/>
  <sheetViews>
    <sheetView showGridLines="0" zoomScaleNormal="100" workbookViewId="0">
      <selection activeCell="D29" sqref="D29"/>
    </sheetView>
  </sheetViews>
  <sheetFormatPr defaultColWidth="8.7109375" defaultRowHeight="15" x14ac:dyDescent="0.25"/>
  <cols>
    <col min="1" max="1" width="2" customWidth="1"/>
    <col min="2" max="2" width="26" customWidth="1"/>
    <col min="3" max="3" width="18" customWidth="1"/>
    <col min="4" max="4" width="10" customWidth="1"/>
    <col min="5" max="5" width="46" customWidth="1"/>
    <col min="6" max="6" width="30" customWidth="1"/>
    <col min="7" max="7" width="74" customWidth="1"/>
  </cols>
  <sheetData>
    <row r="2" spans="2:7" ht="29.25" customHeight="1" x14ac:dyDescent="0.25">
      <c r="B2" s="4" t="s">
        <v>182</v>
      </c>
    </row>
    <row r="3" spans="2:7" ht="18.75" customHeight="1" x14ac:dyDescent="0.25">
      <c r="B3" s="3" t="s">
        <v>183</v>
      </c>
    </row>
    <row r="4" spans="2:7" ht="45.75" hidden="1" customHeight="1" x14ac:dyDescent="0.25"/>
    <row r="5" spans="2:7" ht="45.75" customHeight="1" x14ac:dyDescent="0.25">
      <c r="B5" s="12" t="s">
        <v>184</v>
      </c>
      <c r="C5" s="13" t="s">
        <v>185</v>
      </c>
      <c r="D5" s="13" t="s">
        <v>186</v>
      </c>
      <c r="E5" s="13" t="s">
        <v>187</v>
      </c>
      <c r="F5" s="13" t="s">
        <v>188</v>
      </c>
      <c r="G5" s="14" t="s">
        <v>152</v>
      </c>
    </row>
    <row r="6" spans="2:7" ht="45.75" customHeight="1" x14ac:dyDescent="0.25">
      <c r="B6" s="63" t="s">
        <v>189</v>
      </c>
      <c r="C6" s="64" t="s">
        <v>190</v>
      </c>
      <c r="D6" s="65">
        <v>1</v>
      </c>
      <c r="E6" s="64" t="s">
        <v>191</v>
      </c>
      <c r="F6" s="64" t="s">
        <v>192</v>
      </c>
      <c r="G6" s="66" t="s">
        <v>193</v>
      </c>
    </row>
    <row r="7" spans="2:7" ht="45.75" customHeight="1" x14ac:dyDescent="0.25">
      <c r="B7" s="63" t="s">
        <v>194</v>
      </c>
      <c r="C7" s="64" t="s">
        <v>195</v>
      </c>
      <c r="D7" s="65">
        <v>28</v>
      </c>
      <c r="E7" s="64" t="s">
        <v>191</v>
      </c>
      <c r="F7" s="64" t="s">
        <v>192</v>
      </c>
      <c r="G7" s="66" t="s">
        <v>193</v>
      </c>
    </row>
    <row r="8" spans="2:7" ht="45.75" customHeight="1" x14ac:dyDescent="0.25">
      <c r="B8" s="59" t="s">
        <v>196</v>
      </c>
      <c r="C8" s="60" t="s">
        <v>197</v>
      </c>
      <c r="D8" s="61">
        <v>265</v>
      </c>
      <c r="E8" s="60" t="s">
        <v>191</v>
      </c>
      <c r="F8" s="60" t="s">
        <v>192</v>
      </c>
      <c r="G8" s="62" t="s">
        <v>193</v>
      </c>
    </row>
    <row r="10" spans="2:7" x14ac:dyDescent="0.25">
      <c r="B10" s="2" t="s">
        <v>44</v>
      </c>
    </row>
    <row r="11" spans="2:7" ht="25.5" customHeight="1" x14ac:dyDescent="0.25">
      <c r="B11" s="114" t="s">
        <v>198</v>
      </c>
      <c r="C11" s="114"/>
      <c r="D11" s="114"/>
      <c r="E11" s="114"/>
      <c r="F11" s="114"/>
      <c r="G11" s="114"/>
    </row>
    <row r="12" spans="2:7" ht="25.5" customHeight="1" x14ac:dyDescent="0.25">
      <c r="B12" s="114" t="s">
        <v>199</v>
      </c>
      <c r="C12" s="114"/>
      <c r="D12" s="114"/>
      <c r="E12" s="114"/>
      <c r="F12" s="114"/>
      <c r="G12" s="114"/>
    </row>
    <row r="13" spans="2:7" ht="25.5" customHeight="1" x14ac:dyDescent="0.25">
      <c r="B13" s="114" t="s">
        <v>200</v>
      </c>
      <c r="C13" s="114"/>
      <c r="D13" s="114"/>
      <c r="E13" s="114"/>
      <c r="F13" s="114"/>
      <c r="G13" s="114"/>
    </row>
    <row r="14" spans="2:7" ht="54" customHeight="1" x14ac:dyDescent="0.25">
      <c r="B14" s="115" t="s">
        <v>304</v>
      </c>
      <c r="C14" s="115"/>
      <c r="D14" s="115"/>
      <c r="E14" s="115"/>
      <c r="F14" s="115"/>
      <c r="G14" s="115"/>
    </row>
  </sheetData>
  <sheetProtection algorithmName="SHA-512" hashValue="3V/EZ2X8E+PKhSZOI9fyRZ3akQOQjJso+s0blEI2uF52oNjF0a8V3V43hsA+YXkxm/UPYB2FJ0bkrM7RyTB8vg==" saltValue="T4owJ6X1ecrYxqP1w1c5Yg==" spinCount="100000" sheet="1" objects="1" scenarios="1"/>
  <mergeCells count="4">
    <mergeCell ref="B11:G11"/>
    <mergeCell ref="B12:G12"/>
    <mergeCell ref="B13:G13"/>
    <mergeCell ref="B14:G14"/>
  </mergeCells>
  <pageMargins left="0.75" right="0.75" top="1" bottom="1"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E6654"/>
  </sheetPr>
  <dimension ref="B2:J74"/>
  <sheetViews>
    <sheetView showGridLines="0" tabSelected="1" zoomScale="115" zoomScaleNormal="115" workbookViewId="0">
      <selection activeCell="K12" sqref="K12"/>
    </sheetView>
  </sheetViews>
  <sheetFormatPr defaultColWidth="8.7109375" defaultRowHeight="15" x14ac:dyDescent="0.25"/>
  <cols>
    <col min="1" max="1" width="2" customWidth="1"/>
    <col min="2" max="2" width="29.5703125" customWidth="1"/>
    <col min="3" max="10" width="13.7109375" customWidth="1"/>
  </cols>
  <sheetData>
    <row r="2" spans="2:10" ht="21.95" customHeight="1" x14ac:dyDescent="0.25">
      <c r="B2" s="116" t="s">
        <v>201</v>
      </c>
      <c r="C2" s="116"/>
      <c r="D2" s="116"/>
      <c r="E2" s="116"/>
      <c r="F2" s="116"/>
      <c r="G2" s="116"/>
      <c r="H2" s="116"/>
      <c r="I2" s="116"/>
      <c r="J2" s="116"/>
    </row>
    <row r="3" spans="2:10" ht="18" customHeight="1" x14ac:dyDescent="0.25">
      <c r="B3" s="117" t="s">
        <v>409</v>
      </c>
      <c r="C3" s="117"/>
      <c r="D3" s="117"/>
      <c r="E3" s="117"/>
      <c r="F3" s="117"/>
      <c r="G3" s="117"/>
      <c r="H3" s="117"/>
      <c r="I3" s="117"/>
      <c r="J3" s="117"/>
    </row>
    <row r="4" spans="2:10" ht="8.1" customHeight="1" thickBot="1" x14ac:dyDescent="0.3">
      <c r="B4" s="118"/>
      <c r="C4" s="118"/>
      <c r="D4" s="118"/>
      <c r="E4" s="118"/>
      <c r="F4" s="118"/>
      <c r="G4" s="118"/>
      <c r="H4" s="118"/>
      <c r="I4" s="118"/>
      <c r="J4" s="118"/>
    </row>
    <row r="5" spans="2:10" ht="9.9499999999999993" customHeight="1" x14ac:dyDescent="0.25">
      <c r="B5" s="74"/>
      <c r="C5" s="74"/>
      <c r="D5" s="74"/>
      <c r="E5" s="74"/>
      <c r="F5" s="74"/>
      <c r="G5" s="74"/>
      <c r="H5" s="74"/>
      <c r="I5" s="74"/>
      <c r="J5" s="74"/>
    </row>
    <row r="6" spans="2:10" ht="18" customHeight="1" x14ac:dyDescent="0.25">
      <c r="B6" s="126" t="s">
        <v>202</v>
      </c>
      <c r="C6" s="127"/>
      <c r="D6" s="127"/>
      <c r="E6" s="127"/>
      <c r="F6" s="127"/>
      <c r="G6" s="127"/>
      <c r="H6" s="127"/>
      <c r="I6" s="127"/>
      <c r="J6" s="127"/>
    </row>
    <row r="7" spans="2:10" ht="44.1" customHeight="1" x14ac:dyDescent="0.25">
      <c r="B7" s="128" t="s">
        <v>399</v>
      </c>
      <c r="C7" s="128"/>
      <c r="D7" s="128"/>
      <c r="E7" s="128"/>
      <c r="F7" s="128"/>
      <c r="G7" s="128"/>
      <c r="H7" s="128"/>
      <c r="I7" s="128"/>
      <c r="J7" s="128"/>
    </row>
    <row r="8" spans="2:10" ht="33.950000000000003" customHeight="1" x14ac:dyDescent="0.25">
      <c r="B8" s="128" t="s">
        <v>445</v>
      </c>
      <c r="C8" s="128"/>
      <c r="D8" s="128"/>
      <c r="E8" s="128"/>
      <c r="F8" s="128"/>
      <c r="G8" s="128"/>
      <c r="H8" s="128"/>
      <c r="I8" s="128"/>
      <c r="J8" s="128"/>
    </row>
    <row r="9" spans="2:10" ht="9.9499999999999993" customHeight="1" x14ac:dyDescent="0.25">
      <c r="B9" s="74"/>
      <c r="C9" s="74"/>
      <c r="D9" s="74"/>
      <c r="E9" s="74"/>
      <c r="F9" s="74"/>
      <c r="G9" s="74"/>
      <c r="H9" s="74"/>
      <c r="I9" s="74"/>
      <c r="J9" s="74"/>
    </row>
    <row r="10" spans="2:10" ht="18" customHeight="1" x14ac:dyDescent="0.25">
      <c r="B10" s="126" t="s">
        <v>203</v>
      </c>
      <c r="C10" s="127"/>
      <c r="D10" s="127"/>
      <c r="E10" s="127"/>
      <c r="F10" s="127"/>
      <c r="G10" s="127"/>
      <c r="H10" s="127"/>
      <c r="I10" s="127"/>
      <c r="J10" s="127"/>
    </row>
    <row r="11" spans="2:10" ht="44.1" customHeight="1" x14ac:dyDescent="0.25">
      <c r="B11" s="128" t="s">
        <v>204</v>
      </c>
      <c r="C11" s="128"/>
      <c r="D11" s="128"/>
      <c r="E11" s="128"/>
      <c r="F11" s="128"/>
      <c r="G11" s="128"/>
      <c r="H11" s="128"/>
      <c r="I11" s="128"/>
      <c r="J11" s="128"/>
    </row>
    <row r="12" spans="2:10" ht="24" customHeight="1" x14ac:dyDescent="0.25">
      <c r="B12" s="128" t="s">
        <v>205</v>
      </c>
      <c r="C12" s="128"/>
      <c r="D12" s="128"/>
      <c r="E12" s="128"/>
      <c r="F12" s="128"/>
      <c r="G12" s="128"/>
      <c r="H12" s="128"/>
      <c r="I12" s="128"/>
      <c r="J12" s="128"/>
    </row>
    <row r="13" spans="2:10" ht="9.9499999999999993" customHeight="1" x14ac:dyDescent="0.25">
      <c r="B13" s="74"/>
      <c r="C13" s="74"/>
      <c r="D13" s="74"/>
      <c r="E13" s="74"/>
      <c r="F13" s="74"/>
      <c r="G13" s="74"/>
      <c r="H13" s="74"/>
      <c r="I13" s="74"/>
      <c r="J13" s="74"/>
    </row>
    <row r="14" spans="2:10" ht="18" customHeight="1" x14ac:dyDescent="0.25">
      <c r="B14" s="126" t="s">
        <v>206</v>
      </c>
      <c r="C14" s="127"/>
      <c r="D14" s="127"/>
      <c r="E14" s="127"/>
      <c r="F14" s="127"/>
      <c r="G14" s="127"/>
      <c r="H14" s="127"/>
      <c r="I14" s="127"/>
      <c r="J14" s="127"/>
    </row>
    <row r="15" spans="2:10" ht="33.950000000000003" customHeight="1" x14ac:dyDescent="0.25">
      <c r="B15" s="128" t="s">
        <v>207</v>
      </c>
      <c r="C15" s="128"/>
      <c r="D15" s="128"/>
      <c r="E15" s="128"/>
      <c r="F15" s="128"/>
      <c r="G15" s="128"/>
      <c r="H15" s="128"/>
      <c r="I15" s="128"/>
      <c r="J15" s="128"/>
    </row>
    <row r="16" spans="2:10" ht="24" customHeight="1" x14ac:dyDescent="0.25">
      <c r="B16" s="128" t="s">
        <v>208</v>
      </c>
      <c r="C16" s="128"/>
      <c r="D16" s="128"/>
      <c r="E16" s="128"/>
      <c r="F16" s="128"/>
      <c r="G16" s="128"/>
      <c r="H16" s="128"/>
      <c r="I16" s="128"/>
      <c r="J16" s="128"/>
    </row>
    <row r="17" spans="2:10" ht="24" customHeight="1" x14ac:dyDescent="0.25">
      <c r="B17" s="128" t="s">
        <v>209</v>
      </c>
      <c r="C17" s="128"/>
      <c r="D17" s="128"/>
      <c r="E17" s="128"/>
      <c r="F17" s="128"/>
      <c r="G17" s="128"/>
      <c r="H17" s="128"/>
      <c r="I17" s="128"/>
      <c r="J17" s="128"/>
    </row>
    <row r="18" spans="2:10" ht="44.1" customHeight="1" x14ac:dyDescent="0.25">
      <c r="B18" s="128" t="s">
        <v>210</v>
      </c>
      <c r="C18" s="128"/>
      <c r="D18" s="128"/>
      <c r="E18" s="128"/>
      <c r="F18" s="128"/>
      <c r="G18" s="128"/>
      <c r="H18" s="128"/>
      <c r="I18" s="128"/>
      <c r="J18" s="128"/>
    </row>
    <row r="19" spans="2:10" ht="9.9499999999999993" customHeight="1" x14ac:dyDescent="0.25">
      <c r="B19" s="74"/>
      <c r="C19" s="74"/>
      <c r="D19" s="74"/>
      <c r="E19" s="74"/>
      <c r="F19" s="74"/>
      <c r="G19" s="74"/>
      <c r="H19" s="74"/>
      <c r="I19" s="74"/>
      <c r="J19" s="74"/>
    </row>
    <row r="20" spans="2:10" ht="18" customHeight="1" x14ac:dyDescent="0.25">
      <c r="B20" s="126" t="s">
        <v>211</v>
      </c>
      <c r="C20" s="127"/>
      <c r="D20" s="127"/>
      <c r="E20" s="127"/>
      <c r="F20" s="127"/>
      <c r="G20" s="127"/>
      <c r="H20" s="127"/>
      <c r="I20" s="127"/>
      <c r="J20" s="127"/>
    </row>
    <row r="21" spans="2:10" ht="24" customHeight="1" x14ac:dyDescent="0.25">
      <c r="B21" s="128" t="s">
        <v>212</v>
      </c>
      <c r="C21" s="128"/>
      <c r="D21" s="128"/>
      <c r="E21" s="128"/>
      <c r="F21" s="128"/>
      <c r="G21" s="128"/>
      <c r="H21" s="128"/>
      <c r="I21" s="128"/>
      <c r="J21" s="128"/>
    </row>
    <row r="22" spans="2:10" ht="44.1" customHeight="1" x14ac:dyDescent="0.25">
      <c r="B22" s="128" t="s">
        <v>213</v>
      </c>
      <c r="C22" s="128"/>
      <c r="D22" s="128"/>
      <c r="E22" s="128"/>
      <c r="F22" s="128"/>
      <c r="G22" s="128"/>
      <c r="H22" s="128"/>
      <c r="I22" s="128"/>
      <c r="J22" s="128"/>
    </row>
    <row r="23" spans="2:10" ht="44.1" customHeight="1" x14ac:dyDescent="0.25">
      <c r="B23" s="128" t="s">
        <v>214</v>
      </c>
      <c r="C23" s="128"/>
      <c r="D23" s="128"/>
      <c r="E23" s="128"/>
      <c r="F23" s="128"/>
      <c r="G23" s="128"/>
      <c r="H23" s="128"/>
      <c r="I23" s="128"/>
      <c r="J23" s="128"/>
    </row>
    <row r="24" spans="2:10" ht="9.9499999999999993" customHeight="1" x14ac:dyDescent="0.25">
      <c r="B24" s="74"/>
      <c r="C24" s="74"/>
      <c r="D24" s="74"/>
      <c r="E24" s="74"/>
      <c r="F24" s="74"/>
      <c r="G24" s="74"/>
      <c r="H24" s="74"/>
      <c r="I24" s="74"/>
      <c r="J24" s="74"/>
    </row>
    <row r="25" spans="2:10" ht="18" customHeight="1" thickBot="1" x14ac:dyDescent="0.3">
      <c r="B25" s="126" t="s">
        <v>215</v>
      </c>
      <c r="C25" s="127"/>
      <c r="D25" s="127"/>
      <c r="E25" s="127"/>
      <c r="F25" s="127"/>
      <c r="G25" s="127"/>
      <c r="H25" s="127"/>
      <c r="I25" s="127"/>
      <c r="J25" s="127"/>
    </row>
    <row r="26" spans="2:10" ht="36" customHeight="1" thickBot="1" x14ac:dyDescent="0.3">
      <c r="B26" s="136" t="s">
        <v>393</v>
      </c>
      <c r="C26" s="137"/>
      <c r="D26" s="137"/>
      <c r="E26" s="137"/>
      <c r="F26" s="137"/>
      <c r="G26" s="137"/>
      <c r="H26" s="137"/>
      <c r="I26" s="137"/>
      <c r="J26" s="138"/>
    </row>
    <row r="27" spans="2:10" ht="48" customHeight="1" x14ac:dyDescent="0.25">
      <c r="B27" s="128" t="s">
        <v>394</v>
      </c>
      <c r="C27" s="128"/>
      <c r="D27" s="128"/>
      <c r="E27" s="128"/>
      <c r="F27" s="128"/>
      <c r="G27" s="128"/>
      <c r="H27" s="128"/>
      <c r="I27" s="128"/>
      <c r="J27" s="128"/>
    </row>
    <row r="28" spans="2:10" ht="33.950000000000003" customHeight="1" x14ac:dyDescent="0.25">
      <c r="B28" s="128" t="s">
        <v>216</v>
      </c>
      <c r="C28" s="128"/>
      <c r="D28" s="128"/>
      <c r="E28" s="128"/>
      <c r="F28" s="128"/>
      <c r="G28" s="128"/>
      <c r="H28" s="128"/>
      <c r="I28" s="128"/>
      <c r="J28" s="128"/>
    </row>
    <row r="29" spans="2:10" ht="9.9499999999999993" customHeight="1" x14ac:dyDescent="0.25">
      <c r="B29" s="74"/>
      <c r="C29" s="74"/>
      <c r="D29" s="74"/>
      <c r="E29" s="74"/>
      <c r="F29" s="74"/>
      <c r="G29" s="74"/>
      <c r="H29" s="74"/>
      <c r="I29" s="74"/>
      <c r="J29" s="74"/>
    </row>
    <row r="30" spans="2:10" ht="18" customHeight="1" x14ac:dyDescent="0.25">
      <c r="B30" s="126" t="s">
        <v>217</v>
      </c>
      <c r="C30" s="127"/>
      <c r="D30" s="127"/>
      <c r="E30" s="127"/>
      <c r="F30" s="127"/>
      <c r="G30" s="127"/>
      <c r="H30" s="127"/>
      <c r="I30" s="127"/>
      <c r="J30" s="127"/>
    </row>
    <row r="31" spans="2:10" ht="39.950000000000003" customHeight="1" x14ac:dyDescent="0.25">
      <c r="B31" s="128" t="s">
        <v>218</v>
      </c>
      <c r="C31" s="128"/>
      <c r="D31" s="128"/>
      <c r="E31" s="128"/>
      <c r="F31" s="128"/>
      <c r="G31" s="128"/>
      <c r="H31" s="128"/>
      <c r="I31" s="128"/>
      <c r="J31" s="128"/>
    </row>
    <row r="32" spans="2:10" ht="33.950000000000003" customHeight="1" x14ac:dyDescent="0.25">
      <c r="B32" s="128" t="s">
        <v>219</v>
      </c>
      <c r="C32" s="128"/>
      <c r="D32" s="128"/>
      <c r="E32" s="128"/>
      <c r="F32" s="128"/>
      <c r="G32" s="128"/>
      <c r="H32" s="128"/>
      <c r="I32" s="128"/>
      <c r="J32" s="128"/>
    </row>
    <row r="33" spans="2:10" ht="51.95" customHeight="1" x14ac:dyDescent="0.25">
      <c r="B33" s="128" t="s">
        <v>220</v>
      </c>
      <c r="C33" s="128"/>
      <c r="D33" s="128"/>
      <c r="E33" s="128"/>
      <c r="F33" s="128"/>
      <c r="G33" s="128"/>
      <c r="H33" s="128"/>
      <c r="I33" s="128"/>
      <c r="J33" s="128"/>
    </row>
    <row r="34" spans="2:10" ht="44.1" customHeight="1" x14ac:dyDescent="0.25">
      <c r="B34" s="128" t="s">
        <v>221</v>
      </c>
      <c r="C34" s="128"/>
      <c r="D34" s="128"/>
      <c r="E34" s="128"/>
      <c r="F34" s="128"/>
      <c r="G34" s="128"/>
      <c r="H34" s="128"/>
      <c r="I34" s="128"/>
      <c r="J34" s="128"/>
    </row>
    <row r="35" spans="2:10" ht="62.1" customHeight="1" x14ac:dyDescent="0.25">
      <c r="B35" s="121" t="s">
        <v>402</v>
      </c>
      <c r="C35" s="121"/>
      <c r="D35" s="121"/>
      <c r="E35" s="121"/>
      <c r="F35" s="121"/>
      <c r="G35" s="121"/>
      <c r="H35" s="121"/>
      <c r="I35" s="121"/>
      <c r="J35" s="121"/>
    </row>
    <row r="36" spans="2:10" ht="18" customHeight="1" x14ac:dyDescent="0.25">
      <c r="B36" s="126" t="s">
        <v>222</v>
      </c>
      <c r="C36" s="127"/>
      <c r="D36" s="127"/>
      <c r="E36" s="127"/>
      <c r="F36" s="127"/>
      <c r="G36" s="127"/>
      <c r="H36" s="127"/>
      <c r="I36" s="127"/>
      <c r="J36" s="127"/>
    </row>
    <row r="37" spans="2:10" ht="39.950000000000003" customHeight="1" x14ac:dyDescent="0.25">
      <c r="B37" s="128" t="s">
        <v>223</v>
      </c>
      <c r="C37" s="128"/>
      <c r="D37" s="128"/>
      <c r="E37" s="128"/>
      <c r="F37" s="128"/>
      <c r="G37" s="128"/>
      <c r="H37" s="128"/>
      <c r="I37" s="128"/>
      <c r="J37" s="128"/>
    </row>
    <row r="38" spans="2:10" ht="24" customHeight="1" x14ac:dyDescent="0.25">
      <c r="B38" s="128" t="s">
        <v>224</v>
      </c>
      <c r="C38" s="128"/>
      <c r="D38" s="128"/>
      <c r="E38" s="128"/>
      <c r="F38" s="128"/>
      <c r="G38" s="128"/>
      <c r="H38" s="128"/>
      <c r="I38" s="128"/>
      <c r="J38" s="128"/>
    </row>
    <row r="39" spans="2:10" ht="24" customHeight="1" x14ac:dyDescent="0.25">
      <c r="B39" s="128" t="s">
        <v>225</v>
      </c>
      <c r="C39" s="128"/>
      <c r="D39" s="128"/>
      <c r="E39" s="128"/>
      <c r="F39" s="128"/>
      <c r="G39" s="128"/>
      <c r="H39" s="128"/>
      <c r="I39" s="128"/>
      <c r="J39" s="128"/>
    </row>
    <row r="40" spans="2:10" ht="24" customHeight="1" x14ac:dyDescent="0.25">
      <c r="B40" s="128" t="s">
        <v>226</v>
      </c>
      <c r="C40" s="128"/>
      <c r="D40" s="128"/>
      <c r="E40" s="128"/>
      <c r="F40" s="128"/>
      <c r="G40" s="128"/>
      <c r="H40" s="128"/>
      <c r="I40" s="128"/>
      <c r="J40" s="128"/>
    </row>
    <row r="41" spans="2:10" ht="24" customHeight="1" x14ac:dyDescent="0.25">
      <c r="B41" s="128" t="s">
        <v>227</v>
      </c>
      <c r="C41" s="128"/>
      <c r="D41" s="128"/>
      <c r="E41" s="128"/>
      <c r="F41" s="128"/>
      <c r="G41" s="128"/>
      <c r="H41" s="128"/>
      <c r="I41" s="128"/>
      <c r="J41" s="128"/>
    </row>
    <row r="42" spans="2:10" ht="75.95" customHeight="1" x14ac:dyDescent="0.25">
      <c r="B42" s="128" t="s">
        <v>228</v>
      </c>
      <c r="C42" s="128"/>
      <c r="D42" s="128"/>
      <c r="E42" s="128"/>
      <c r="F42" s="128"/>
      <c r="G42" s="128"/>
      <c r="H42" s="128"/>
      <c r="I42" s="128"/>
      <c r="J42" s="128"/>
    </row>
    <row r="43" spans="2:10" ht="33.950000000000003" customHeight="1" x14ac:dyDescent="0.25">
      <c r="B43" s="128" t="s">
        <v>229</v>
      </c>
      <c r="C43" s="128"/>
      <c r="D43" s="128"/>
      <c r="E43" s="128"/>
      <c r="F43" s="128"/>
      <c r="G43" s="128"/>
      <c r="H43" s="128"/>
      <c r="I43" s="128"/>
      <c r="J43" s="128"/>
    </row>
    <row r="44" spans="2:10" ht="9.9499999999999993" customHeight="1" x14ac:dyDescent="0.25">
      <c r="B44" s="74"/>
      <c r="C44" s="74"/>
      <c r="D44" s="74"/>
      <c r="E44" s="74"/>
      <c r="F44" s="74"/>
      <c r="G44" s="74"/>
      <c r="H44" s="74"/>
      <c r="I44" s="74"/>
      <c r="J44" s="74"/>
    </row>
    <row r="45" spans="2:10" ht="18" customHeight="1" x14ac:dyDescent="0.25">
      <c r="B45" s="126" t="s">
        <v>230</v>
      </c>
      <c r="C45" s="127"/>
      <c r="D45" s="127"/>
      <c r="E45" s="127"/>
      <c r="F45" s="127"/>
      <c r="G45" s="127"/>
      <c r="H45" s="127"/>
      <c r="I45" s="127"/>
      <c r="J45" s="127"/>
    </row>
    <row r="46" spans="2:10" ht="24" customHeight="1" x14ac:dyDescent="0.25">
      <c r="B46" s="128" t="s">
        <v>231</v>
      </c>
      <c r="C46" s="128"/>
      <c r="D46" s="128"/>
      <c r="E46" s="128"/>
      <c r="F46" s="128"/>
      <c r="G46" s="128"/>
      <c r="H46" s="128"/>
      <c r="I46" s="128"/>
      <c r="J46" s="128"/>
    </row>
    <row r="47" spans="2:10" ht="24" customHeight="1" x14ac:dyDescent="0.25">
      <c r="B47" s="124" t="s">
        <v>232</v>
      </c>
      <c r="C47" s="125"/>
      <c r="D47" s="125"/>
      <c r="E47" s="125"/>
      <c r="F47" s="125"/>
      <c r="G47" s="125"/>
      <c r="H47" s="125"/>
      <c r="I47" s="125"/>
      <c r="J47" s="125"/>
    </row>
    <row r="48" spans="2:10" ht="24" customHeight="1" x14ac:dyDescent="0.25">
      <c r="B48" s="124" t="s">
        <v>233</v>
      </c>
      <c r="C48" s="125"/>
      <c r="D48" s="125"/>
      <c r="E48" s="125"/>
      <c r="F48" s="125"/>
      <c r="G48" s="125"/>
      <c r="H48" s="125"/>
      <c r="I48" s="125"/>
      <c r="J48" s="125"/>
    </row>
    <row r="49" spans="2:10" ht="24" customHeight="1" x14ac:dyDescent="0.25">
      <c r="B49" s="124" t="s">
        <v>234</v>
      </c>
      <c r="C49" s="125"/>
      <c r="D49" s="125"/>
      <c r="E49" s="125"/>
      <c r="F49" s="125"/>
      <c r="G49" s="125"/>
      <c r="H49" s="125"/>
      <c r="I49" s="125"/>
      <c r="J49" s="125"/>
    </row>
    <row r="50" spans="2:10" ht="33.950000000000003" customHeight="1" x14ac:dyDescent="0.25">
      <c r="B50" s="124" t="s">
        <v>235</v>
      </c>
      <c r="C50" s="125"/>
      <c r="D50" s="125"/>
      <c r="E50" s="125"/>
      <c r="F50" s="125"/>
      <c r="G50" s="125"/>
      <c r="H50" s="125"/>
      <c r="I50" s="125"/>
      <c r="J50" s="125"/>
    </row>
    <row r="51" spans="2:10" ht="33.950000000000003" customHeight="1" x14ac:dyDescent="0.25">
      <c r="B51" s="124" t="s">
        <v>236</v>
      </c>
      <c r="C51" s="125"/>
      <c r="D51" s="125"/>
      <c r="E51" s="125"/>
      <c r="F51" s="125"/>
      <c r="G51" s="125"/>
      <c r="H51" s="125"/>
      <c r="I51" s="125"/>
      <c r="J51" s="125"/>
    </row>
    <row r="52" spans="2:10" ht="9.9499999999999993" customHeight="1" x14ac:dyDescent="0.25">
      <c r="B52" s="74"/>
      <c r="C52" s="74"/>
      <c r="D52" s="74"/>
      <c r="E52" s="74"/>
      <c r="F52" s="74"/>
      <c r="G52" s="74"/>
      <c r="H52" s="74"/>
      <c r="I52" s="74"/>
      <c r="J52" s="74"/>
    </row>
    <row r="53" spans="2:10" ht="18" customHeight="1" x14ac:dyDescent="0.25">
      <c r="B53" s="126" t="s">
        <v>237</v>
      </c>
      <c r="C53" s="127"/>
      <c r="D53" s="127"/>
      <c r="E53" s="127"/>
      <c r="F53" s="127"/>
      <c r="G53" s="127"/>
      <c r="H53" s="127"/>
      <c r="I53" s="127"/>
      <c r="J53" s="127"/>
    </row>
    <row r="54" spans="2:10" ht="45.95" customHeight="1" x14ac:dyDescent="0.25">
      <c r="B54" s="122" t="s">
        <v>238</v>
      </c>
      <c r="C54" s="123"/>
      <c r="D54" s="123"/>
      <c r="E54" s="123"/>
      <c r="F54" s="123"/>
      <c r="G54" s="123"/>
      <c r="H54" s="123"/>
      <c r="I54" s="123"/>
      <c r="J54" s="123"/>
    </row>
    <row r="55" spans="2:10" ht="48" customHeight="1" x14ac:dyDescent="0.25">
      <c r="B55" s="122" t="s">
        <v>239</v>
      </c>
      <c r="C55" s="123"/>
      <c r="D55" s="123"/>
      <c r="E55" s="123"/>
      <c r="F55" s="123"/>
      <c r="G55" s="123"/>
      <c r="H55" s="123"/>
      <c r="I55" s="123"/>
      <c r="J55" s="123"/>
    </row>
    <row r="56" spans="2:10" ht="39.950000000000003" customHeight="1" x14ac:dyDescent="0.25">
      <c r="B56" s="122" t="s">
        <v>240</v>
      </c>
      <c r="C56" s="123"/>
      <c r="D56" s="123"/>
      <c r="E56" s="123"/>
      <c r="F56" s="123"/>
      <c r="G56" s="123"/>
      <c r="H56" s="123"/>
      <c r="I56" s="123"/>
      <c r="J56" s="123"/>
    </row>
    <row r="57" spans="2:10" ht="24" customHeight="1" x14ac:dyDescent="0.25">
      <c r="B57" s="122" t="s">
        <v>241</v>
      </c>
      <c r="C57" s="123"/>
      <c r="D57" s="123"/>
      <c r="E57" s="123"/>
      <c r="F57" s="123"/>
      <c r="G57" s="123"/>
      <c r="H57" s="123"/>
      <c r="I57" s="123"/>
      <c r="J57" s="123"/>
    </row>
    <row r="58" spans="2:10" ht="9.9499999999999993" customHeight="1" x14ac:dyDescent="0.25">
      <c r="B58" s="74"/>
      <c r="C58" s="74"/>
      <c r="D58" s="74"/>
      <c r="E58" s="74"/>
      <c r="F58" s="74"/>
      <c r="G58" s="74"/>
      <c r="H58" s="74"/>
      <c r="I58" s="74"/>
      <c r="J58" s="74"/>
    </row>
    <row r="59" spans="2:10" ht="18" customHeight="1" x14ac:dyDescent="0.25">
      <c r="B59" s="119" t="s">
        <v>395</v>
      </c>
      <c r="C59" s="119"/>
      <c r="D59" s="119"/>
      <c r="E59" s="119"/>
      <c r="F59" s="119"/>
      <c r="G59" s="119"/>
      <c r="H59" s="119"/>
      <c r="I59" s="119"/>
      <c r="J59" s="119"/>
    </row>
    <row r="60" spans="2:10" ht="33.950000000000003" customHeight="1" x14ac:dyDescent="0.25">
      <c r="B60" s="120" t="s">
        <v>396</v>
      </c>
      <c r="C60" s="120"/>
      <c r="D60" s="120"/>
      <c r="E60" s="120"/>
      <c r="F60" s="120"/>
      <c r="G60" s="120"/>
      <c r="H60" s="120"/>
      <c r="I60" s="120"/>
      <c r="J60" s="120"/>
    </row>
    <row r="61" spans="2:10" ht="32.1" customHeight="1" x14ac:dyDescent="0.25">
      <c r="B61" s="120" t="s">
        <v>397</v>
      </c>
      <c r="C61" s="120"/>
      <c r="D61" s="120"/>
      <c r="E61" s="120"/>
      <c r="F61" s="120"/>
      <c r="G61" s="120"/>
      <c r="H61" s="120"/>
      <c r="I61" s="120"/>
      <c r="J61" s="120"/>
    </row>
    <row r="62" spans="2:10" ht="24.75" customHeight="1" x14ac:dyDescent="0.25">
      <c r="B62" s="232" t="s">
        <v>398</v>
      </c>
      <c r="C62" s="232"/>
      <c r="D62" s="232"/>
      <c r="E62" s="232"/>
      <c r="F62" s="232"/>
      <c r="G62" s="232"/>
      <c r="H62" s="232"/>
      <c r="I62" s="232"/>
      <c r="J62" s="232"/>
    </row>
    <row r="63" spans="2:10" ht="21.95" customHeight="1" x14ac:dyDescent="0.25">
      <c r="B63" s="134" t="str">
        <f>HYPERLINK("mailto:reinielcelgiechan@gmail.com","Email: reinielcelgiechan@gmail.com")</f>
        <v>Email: reinielcelgiechan@gmail.com</v>
      </c>
      <c r="C63" s="135"/>
      <c r="D63" s="135"/>
      <c r="E63" s="135"/>
      <c r="F63" s="135"/>
      <c r="G63" s="135"/>
      <c r="H63" s="135"/>
      <c r="I63" s="135"/>
      <c r="J63" s="135"/>
    </row>
    <row r="64" spans="2:10" ht="21.95" customHeight="1" x14ac:dyDescent="0.25">
      <c r="B64" s="134" t="str">
        <f>HYPERLINK("https://www.linkedin.com/in/reiniel-celgie-chan-0a122428b/","LinkedIn: Reiniel Celgie Chan")</f>
        <v>LinkedIn: Reiniel Celgie Chan</v>
      </c>
      <c r="C64" s="135"/>
      <c r="D64" s="135"/>
      <c r="E64" s="135"/>
      <c r="F64" s="135"/>
      <c r="G64" s="135"/>
      <c r="H64" s="135"/>
      <c r="I64" s="135"/>
      <c r="J64" s="135"/>
    </row>
    <row r="65" spans="2:10" ht="18" customHeight="1" x14ac:dyDescent="0.25">
      <c r="B65" s="126" t="s">
        <v>242</v>
      </c>
      <c r="C65" s="127"/>
      <c r="D65" s="127"/>
      <c r="E65" s="127"/>
      <c r="F65" s="127"/>
      <c r="G65" s="127"/>
      <c r="H65" s="127"/>
      <c r="I65" s="127"/>
      <c r="J65" s="127"/>
    </row>
    <row r="66" spans="2:10" ht="24" customHeight="1" x14ac:dyDescent="0.25">
      <c r="B66" s="133" t="s">
        <v>243</v>
      </c>
      <c r="C66" s="125"/>
      <c r="D66" s="125"/>
      <c r="E66" s="125"/>
      <c r="F66" s="125"/>
      <c r="G66" s="125"/>
      <c r="H66" s="125"/>
      <c r="I66" s="125"/>
      <c r="J66" s="125"/>
    </row>
    <row r="67" spans="2:10" ht="24" customHeight="1" x14ac:dyDescent="0.25">
      <c r="B67" s="133" t="s">
        <v>244</v>
      </c>
      <c r="C67" s="125"/>
      <c r="D67" s="125"/>
      <c r="E67" s="125"/>
      <c r="F67" s="125"/>
      <c r="G67" s="125"/>
      <c r="H67" s="125"/>
      <c r="I67" s="125"/>
      <c r="J67" s="125"/>
    </row>
    <row r="68" spans="2:10" ht="24" customHeight="1" x14ac:dyDescent="0.25">
      <c r="B68" s="133" t="s">
        <v>245</v>
      </c>
      <c r="C68" s="125"/>
      <c r="D68" s="125"/>
      <c r="E68" s="125"/>
      <c r="F68" s="125"/>
      <c r="G68" s="125"/>
      <c r="H68" s="125"/>
      <c r="I68" s="125"/>
      <c r="J68" s="125"/>
    </row>
    <row r="69" spans="2:10" ht="24" customHeight="1" x14ac:dyDescent="0.25">
      <c r="B69" s="133" t="s">
        <v>246</v>
      </c>
      <c r="C69" s="125"/>
      <c r="D69" s="125"/>
      <c r="E69" s="125"/>
      <c r="F69" s="125"/>
      <c r="G69" s="125"/>
      <c r="H69" s="125"/>
      <c r="I69" s="125"/>
      <c r="J69" s="125"/>
    </row>
    <row r="70" spans="2:10" ht="38.1" customHeight="1" x14ac:dyDescent="0.25">
      <c r="B70" s="133" t="s">
        <v>247</v>
      </c>
      <c r="C70" s="125"/>
      <c r="D70" s="125"/>
      <c r="E70" s="125"/>
      <c r="F70" s="125"/>
      <c r="G70" s="125"/>
      <c r="H70" s="125"/>
      <c r="I70" s="125"/>
      <c r="J70" s="125"/>
    </row>
    <row r="71" spans="2:10" ht="9.9499999999999993" customHeight="1" x14ac:dyDescent="0.25">
      <c r="B71" s="74"/>
      <c r="C71" s="74"/>
      <c r="D71" s="74"/>
      <c r="E71" s="74"/>
      <c r="F71" s="74"/>
      <c r="G71" s="74"/>
      <c r="H71" s="74"/>
      <c r="I71" s="74"/>
      <c r="J71" s="74"/>
    </row>
    <row r="72" spans="2:10" ht="18" customHeight="1" x14ac:dyDescent="0.25">
      <c r="B72" s="126" t="s">
        <v>248</v>
      </c>
      <c r="C72" s="127"/>
      <c r="D72" s="127"/>
      <c r="E72" s="127"/>
      <c r="F72" s="127"/>
      <c r="G72" s="127"/>
      <c r="H72" s="127"/>
      <c r="I72" s="127"/>
      <c r="J72" s="127"/>
    </row>
    <row r="73" spans="2:10" ht="54" customHeight="1" x14ac:dyDescent="0.25">
      <c r="B73" s="129" t="s">
        <v>249</v>
      </c>
      <c r="C73" s="129"/>
      <c r="D73" s="129"/>
      <c r="E73" s="130" t="s">
        <v>161</v>
      </c>
      <c r="F73" s="130"/>
      <c r="G73" s="130"/>
      <c r="H73" s="130"/>
      <c r="I73" s="130"/>
      <c r="J73" s="130"/>
    </row>
    <row r="74" spans="2:10" ht="48" customHeight="1" x14ac:dyDescent="0.25">
      <c r="B74" s="131" t="s">
        <v>250</v>
      </c>
      <c r="C74" s="131"/>
      <c r="D74" s="131"/>
      <c r="E74" s="132" t="s">
        <v>193</v>
      </c>
      <c r="F74" s="132"/>
      <c r="G74" s="132"/>
      <c r="H74" s="132"/>
      <c r="I74" s="132"/>
      <c r="J74" s="132"/>
    </row>
  </sheetData>
  <sheetProtection algorithmName="SHA-512" hashValue="Pk3/4aaziZoNMmfha9OYNfGE4h5MUf1HC/DhiNH5QBmUOLHTCQmCFBbvOWMQ6vHWwE5BiizWgclBufOH3XCUPw==" saltValue="CXkUFdsfcbZMpHCStoO+sw==" spinCount="100000" sheet="1" objects="1" scenarios="1"/>
  <mergeCells count="65">
    <mergeCell ref="B6:J6"/>
    <mergeCell ref="B7:J7"/>
    <mergeCell ref="B8:J8"/>
    <mergeCell ref="B10:J10"/>
    <mergeCell ref="B11:J11"/>
    <mergeCell ref="B12:J12"/>
    <mergeCell ref="B14:J14"/>
    <mergeCell ref="B15:J15"/>
    <mergeCell ref="B16:J16"/>
    <mergeCell ref="B17:J17"/>
    <mergeCell ref="B18:J18"/>
    <mergeCell ref="B20:J20"/>
    <mergeCell ref="B21:J21"/>
    <mergeCell ref="B22:J22"/>
    <mergeCell ref="B23:J23"/>
    <mergeCell ref="B25:J25"/>
    <mergeCell ref="B26:J26"/>
    <mergeCell ref="B27:J27"/>
    <mergeCell ref="B28:J28"/>
    <mergeCell ref="B30:J30"/>
    <mergeCell ref="B31:J31"/>
    <mergeCell ref="B32:J32"/>
    <mergeCell ref="B33:J33"/>
    <mergeCell ref="B34:J34"/>
    <mergeCell ref="B36:J36"/>
    <mergeCell ref="B43:J43"/>
    <mergeCell ref="B45:J45"/>
    <mergeCell ref="B46:J46"/>
    <mergeCell ref="B47:J47"/>
    <mergeCell ref="B37:J37"/>
    <mergeCell ref="B38:J38"/>
    <mergeCell ref="B39:J39"/>
    <mergeCell ref="B40:J40"/>
    <mergeCell ref="B41:J41"/>
    <mergeCell ref="B65:J65"/>
    <mergeCell ref="B61:J61"/>
    <mergeCell ref="B62:J62"/>
    <mergeCell ref="B63:J63"/>
    <mergeCell ref="B64:J64"/>
    <mergeCell ref="B66:J66"/>
    <mergeCell ref="B67:J67"/>
    <mergeCell ref="B68:J68"/>
    <mergeCell ref="B69:J69"/>
    <mergeCell ref="B70:J70"/>
    <mergeCell ref="B72:J72"/>
    <mergeCell ref="B73:D73"/>
    <mergeCell ref="E73:J73"/>
    <mergeCell ref="B74:D74"/>
    <mergeCell ref="E74:J74"/>
    <mergeCell ref="B2:J2"/>
    <mergeCell ref="B3:J3"/>
    <mergeCell ref="B4:J4"/>
    <mergeCell ref="B59:J59"/>
    <mergeCell ref="B60:J60"/>
    <mergeCell ref="B35:J35"/>
    <mergeCell ref="B54:J54"/>
    <mergeCell ref="B55:J55"/>
    <mergeCell ref="B56:J56"/>
    <mergeCell ref="B57:J57"/>
    <mergeCell ref="B48:J48"/>
    <mergeCell ref="B49:J49"/>
    <mergeCell ref="B50:J50"/>
    <mergeCell ref="B51:J51"/>
    <mergeCell ref="B53:J53"/>
    <mergeCell ref="B42:J4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Dashboard</vt:lpstr>
      <vt:lpstr>Scope 1</vt:lpstr>
      <vt:lpstr>Scope 2</vt:lpstr>
      <vt:lpstr>Emission Factors DB</vt:lpstr>
      <vt:lpstr>GWP Reference</vt:lpstr>
      <vt:lpstr>Instructions &amp; Methodology</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Reiniel Celgie Chan</dc:creator>
  <dc:description/>
  <cp:lastModifiedBy>Reiniel Celgie Chan</cp:lastModifiedBy>
  <cp:revision>1</cp:revision>
  <dcterms:created xsi:type="dcterms:W3CDTF">2026-08-17T09:50:04Z</dcterms:created>
  <dcterms:modified xsi:type="dcterms:W3CDTF">2026-08-18T14:02:48Z</dcterms:modified>
  <dc:language>en-US</dc:language>
</cp:coreProperties>
</file>